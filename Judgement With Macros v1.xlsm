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Judgment Excel\"/>
    </mc:Choice>
  </mc:AlternateContent>
  <xr:revisionPtr revIDLastSave="0" documentId="13_ncr:1_{BB4D9669-3FD3-498F-8BCA-F69621A24C3F}" xr6:coauthVersionLast="47" xr6:coauthVersionMax="47" xr10:uidLastSave="{00000000-0000-0000-0000-000000000000}"/>
  <bookViews>
    <workbookView xWindow="-108" yWindow="-108" windowWidth="41496" windowHeight="16776" activeTab="1" xr2:uid="{0D6E6A5F-853F-4E95-941E-46BFD1488418}"/>
  </bookViews>
  <sheets>
    <sheet name="Name Sheet" sheetId="11" r:id="rId1"/>
    <sheet name="Scoring and Bidding Data" sheetId="3" r:id="rId2"/>
  </sheets>
  <definedNames>
    <definedName name="Dadi">'Name Sheet'!$B$7</definedName>
    <definedName name="Paresh">'Name Sheet'!$C$7:$H$7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3" l="1"/>
  <c r="C7" i="3"/>
  <c r="D7" i="3"/>
  <c r="E7" i="3"/>
  <c r="F7" i="3"/>
  <c r="G7" i="3"/>
  <c r="H7" i="3"/>
  <c r="B7" i="3"/>
  <c r="Q8" i="3"/>
  <c r="Q9" i="3" s="1"/>
  <c r="R8" i="3"/>
  <c r="R9" i="3" s="1"/>
  <c r="S8" i="3"/>
  <c r="S9" i="3" s="1"/>
  <c r="T8" i="3"/>
  <c r="T9" i="3" s="1"/>
  <c r="U8" i="3"/>
  <c r="U9" i="3" s="1"/>
  <c r="V8" i="3"/>
  <c r="Q5" i="3"/>
  <c r="R5" i="3"/>
  <c r="S5" i="3"/>
  <c r="T5" i="3"/>
  <c r="U5" i="3"/>
  <c r="V5" i="3"/>
  <c r="P5" i="3"/>
  <c r="Z40" i="3"/>
  <c r="AH40" i="3" s="1"/>
  <c r="AA40" i="3"/>
  <c r="AI40" i="3" s="1"/>
  <c r="AB40" i="3"/>
  <c r="AJ40" i="3" s="1"/>
  <c r="AC40" i="3"/>
  <c r="AK40" i="3" s="1"/>
  <c r="AD40" i="3"/>
  <c r="AL40" i="3" s="1"/>
  <c r="AE40" i="3"/>
  <c r="AM40" i="3" s="1"/>
  <c r="Z38" i="3"/>
  <c r="AH38" i="3" s="1"/>
  <c r="AA38" i="3"/>
  <c r="AI38" i="3" s="1"/>
  <c r="AB38" i="3"/>
  <c r="AJ38" i="3" s="1"/>
  <c r="AC38" i="3"/>
  <c r="AK38" i="3" s="1"/>
  <c r="AD38" i="3"/>
  <c r="AL38" i="3" s="1"/>
  <c r="AE38" i="3"/>
  <c r="AM38" i="3" s="1"/>
  <c r="Z36" i="3"/>
  <c r="AH36" i="3" s="1"/>
  <c r="AA36" i="3"/>
  <c r="AI36" i="3" s="1"/>
  <c r="AB36" i="3"/>
  <c r="AJ36" i="3" s="1"/>
  <c r="AC36" i="3"/>
  <c r="AK36" i="3" s="1"/>
  <c r="AD36" i="3"/>
  <c r="AE36" i="3"/>
  <c r="AM36" i="3" s="1"/>
  <c r="Y40" i="3"/>
  <c r="AG40" i="3" s="1"/>
  <c r="Y38" i="3"/>
  <c r="AG38" i="3" s="1"/>
  <c r="Y36" i="3"/>
  <c r="AG36" i="3" s="1"/>
  <c r="Z42" i="3"/>
  <c r="AH42" i="3" s="1"/>
  <c r="AA42" i="3"/>
  <c r="AI42" i="3" s="1"/>
  <c r="AB42" i="3"/>
  <c r="AJ42" i="3" s="1"/>
  <c r="AC42" i="3"/>
  <c r="AK42" i="3" s="1"/>
  <c r="AD42" i="3"/>
  <c r="AL42" i="3" s="1"/>
  <c r="AE42" i="3"/>
  <c r="AM42" i="3" s="1"/>
  <c r="Y42" i="3"/>
  <c r="AG42" i="3" s="1"/>
  <c r="Z32" i="3"/>
  <c r="AA32" i="3"/>
  <c r="AI32" i="3" s="1"/>
  <c r="AB32" i="3"/>
  <c r="AJ32" i="3" s="1"/>
  <c r="AC32" i="3"/>
  <c r="AK32" i="3" s="1"/>
  <c r="AD32" i="3"/>
  <c r="AL32" i="3" s="1"/>
  <c r="AE32" i="3"/>
  <c r="AM32" i="3" s="1"/>
  <c r="Z33" i="3"/>
  <c r="AH33" i="3" s="1"/>
  <c r="AA33" i="3"/>
  <c r="AI33" i="3" s="1"/>
  <c r="AB33" i="3"/>
  <c r="AJ33" i="3" s="1"/>
  <c r="AC33" i="3"/>
  <c r="AK33" i="3" s="1"/>
  <c r="AD33" i="3"/>
  <c r="AL33" i="3" s="1"/>
  <c r="AE33" i="3"/>
  <c r="AM33" i="3" s="1"/>
  <c r="Z34" i="3"/>
  <c r="AH34" i="3" s="1"/>
  <c r="AA34" i="3"/>
  <c r="AI34" i="3" s="1"/>
  <c r="AB34" i="3"/>
  <c r="AJ34" i="3" s="1"/>
  <c r="AC34" i="3"/>
  <c r="AK34" i="3" s="1"/>
  <c r="AD34" i="3"/>
  <c r="AL34" i="3" s="1"/>
  <c r="AE34" i="3"/>
  <c r="AM34" i="3" s="1"/>
  <c r="Z35" i="3"/>
  <c r="AH35" i="3" s="1"/>
  <c r="AA35" i="3"/>
  <c r="AI35" i="3" s="1"/>
  <c r="AB35" i="3"/>
  <c r="AJ35" i="3" s="1"/>
  <c r="AC35" i="3"/>
  <c r="AK35" i="3" s="1"/>
  <c r="AD35" i="3"/>
  <c r="AL35" i="3" s="1"/>
  <c r="AE35" i="3"/>
  <c r="AM35" i="3" s="1"/>
  <c r="Z37" i="3"/>
  <c r="AH37" i="3" s="1"/>
  <c r="AA37" i="3"/>
  <c r="AI37" i="3" s="1"/>
  <c r="AB37" i="3"/>
  <c r="AJ37" i="3" s="1"/>
  <c r="AC37" i="3"/>
  <c r="AK37" i="3" s="1"/>
  <c r="AD37" i="3"/>
  <c r="AL37" i="3" s="1"/>
  <c r="AE37" i="3"/>
  <c r="AM37" i="3" s="1"/>
  <c r="Z39" i="3"/>
  <c r="AH39" i="3" s="1"/>
  <c r="AA39" i="3"/>
  <c r="AI39" i="3" s="1"/>
  <c r="AB39" i="3"/>
  <c r="AJ39" i="3" s="1"/>
  <c r="AC39" i="3"/>
  <c r="AK39" i="3" s="1"/>
  <c r="AD39" i="3"/>
  <c r="AL39" i="3" s="1"/>
  <c r="AE39" i="3"/>
  <c r="AM39" i="3" s="1"/>
  <c r="Z41" i="3"/>
  <c r="AH41" i="3" s="1"/>
  <c r="AA41" i="3"/>
  <c r="AI41" i="3" s="1"/>
  <c r="AB41" i="3"/>
  <c r="AJ41" i="3" s="1"/>
  <c r="AC41" i="3"/>
  <c r="AK41" i="3" s="1"/>
  <c r="AD41" i="3"/>
  <c r="AL41" i="3" s="1"/>
  <c r="AE41" i="3"/>
  <c r="AM41" i="3" s="1"/>
  <c r="Z43" i="3"/>
  <c r="AH43" i="3" s="1"/>
  <c r="AA43" i="3"/>
  <c r="AI43" i="3" s="1"/>
  <c r="AB43" i="3"/>
  <c r="AJ43" i="3" s="1"/>
  <c r="AC43" i="3"/>
  <c r="AK43" i="3" s="1"/>
  <c r="AD43" i="3"/>
  <c r="AL43" i="3" s="1"/>
  <c r="AE43" i="3"/>
  <c r="AM43" i="3" s="1"/>
  <c r="Z44" i="3"/>
  <c r="AH44" i="3" s="1"/>
  <c r="AA44" i="3"/>
  <c r="AI44" i="3" s="1"/>
  <c r="AB44" i="3"/>
  <c r="AJ44" i="3" s="1"/>
  <c r="AC44" i="3"/>
  <c r="AK44" i="3" s="1"/>
  <c r="AD44" i="3"/>
  <c r="AL44" i="3" s="1"/>
  <c r="AE44" i="3"/>
  <c r="AM44" i="3" s="1"/>
  <c r="Z45" i="3"/>
  <c r="AH45" i="3" s="1"/>
  <c r="AA45" i="3"/>
  <c r="AI45" i="3" s="1"/>
  <c r="AB45" i="3"/>
  <c r="AJ45" i="3" s="1"/>
  <c r="AC45" i="3"/>
  <c r="AK45" i="3" s="1"/>
  <c r="AD45" i="3"/>
  <c r="AL45" i="3" s="1"/>
  <c r="AE45" i="3"/>
  <c r="AM45" i="3" s="1"/>
  <c r="Y32" i="3"/>
  <c r="AG32" i="3" s="1"/>
  <c r="Y45" i="3"/>
  <c r="AG45" i="3" s="1"/>
  <c r="Y44" i="3"/>
  <c r="AG44" i="3" s="1"/>
  <c r="Y43" i="3"/>
  <c r="AG43" i="3" s="1"/>
  <c r="Y41" i="3"/>
  <c r="AG41" i="3" s="1"/>
  <c r="Y39" i="3"/>
  <c r="AG39" i="3" s="1"/>
  <c r="Y37" i="3"/>
  <c r="AG37" i="3" s="1"/>
  <c r="Y35" i="3"/>
  <c r="AG35" i="3" s="1"/>
  <c r="Y34" i="3"/>
  <c r="AG34" i="3" s="1"/>
  <c r="Y33" i="3"/>
  <c r="AG33" i="3" s="1"/>
  <c r="AH32" i="3"/>
  <c r="AL36" i="3"/>
  <c r="P8" i="3"/>
  <c r="P9" i="3" s="1"/>
  <c r="V9" i="3"/>
  <c r="Z13" i="3"/>
  <c r="AH13" i="3" s="1"/>
  <c r="AA13" i="3"/>
  <c r="AI13" i="3" s="1"/>
  <c r="AB13" i="3"/>
  <c r="AC13" i="3"/>
  <c r="AK13" i="3" s="1"/>
  <c r="AD13" i="3"/>
  <c r="AL13" i="3" s="1"/>
  <c r="AE13" i="3"/>
  <c r="AM13" i="3" s="1"/>
  <c r="Z14" i="3"/>
  <c r="AH14" i="3" s="1"/>
  <c r="AA14" i="3"/>
  <c r="AI14" i="3" s="1"/>
  <c r="AB14" i="3"/>
  <c r="AJ14" i="3" s="1"/>
  <c r="AC14" i="3"/>
  <c r="AD14" i="3"/>
  <c r="AE14" i="3"/>
  <c r="AM14" i="3" s="1"/>
  <c r="Z15" i="3"/>
  <c r="AH15" i="3" s="1"/>
  <c r="AA15" i="3"/>
  <c r="AI15" i="3" s="1"/>
  <c r="AB15" i="3"/>
  <c r="AJ15" i="3" s="1"/>
  <c r="AC15" i="3"/>
  <c r="AK15" i="3" s="1"/>
  <c r="AD15" i="3"/>
  <c r="AL15" i="3" s="1"/>
  <c r="AE15" i="3"/>
  <c r="AM15" i="3" s="1"/>
  <c r="Z16" i="3"/>
  <c r="AH16" i="3" s="1"/>
  <c r="AA16" i="3"/>
  <c r="AI16" i="3" s="1"/>
  <c r="AB16" i="3"/>
  <c r="AJ16" i="3" s="1"/>
  <c r="AC16" i="3"/>
  <c r="AK16" i="3" s="1"/>
  <c r="AD16" i="3"/>
  <c r="AL16" i="3" s="1"/>
  <c r="AE16" i="3"/>
  <c r="AM16" i="3" s="1"/>
  <c r="Z17" i="3"/>
  <c r="AH17" i="3" s="1"/>
  <c r="AA17" i="3"/>
  <c r="AI17" i="3" s="1"/>
  <c r="AB17" i="3"/>
  <c r="AJ17" i="3" s="1"/>
  <c r="AC17" i="3"/>
  <c r="AK17" i="3" s="1"/>
  <c r="AD17" i="3"/>
  <c r="AL17" i="3" s="1"/>
  <c r="AE17" i="3"/>
  <c r="AM17" i="3" s="1"/>
  <c r="Z18" i="3"/>
  <c r="AH18" i="3" s="1"/>
  <c r="AA18" i="3"/>
  <c r="AI18" i="3" s="1"/>
  <c r="AB18" i="3"/>
  <c r="AJ18" i="3" s="1"/>
  <c r="AC18" i="3"/>
  <c r="AK18" i="3" s="1"/>
  <c r="AD18" i="3"/>
  <c r="AL18" i="3" s="1"/>
  <c r="AE18" i="3"/>
  <c r="AM18" i="3" s="1"/>
  <c r="Z19" i="3"/>
  <c r="AH19" i="3" s="1"/>
  <c r="AA19" i="3"/>
  <c r="AI19" i="3" s="1"/>
  <c r="AB19" i="3"/>
  <c r="AJ19" i="3" s="1"/>
  <c r="AC19" i="3"/>
  <c r="AK19" i="3" s="1"/>
  <c r="AD19" i="3"/>
  <c r="AL19" i="3" s="1"/>
  <c r="AE19" i="3"/>
  <c r="AM19" i="3" s="1"/>
  <c r="Z20" i="3"/>
  <c r="AH20" i="3" s="1"/>
  <c r="AA20" i="3"/>
  <c r="AI20" i="3" s="1"/>
  <c r="AB20" i="3"/>
  <c r="AJ20" i="3" s="1"/>
  <c r="AC20" i="3"/>
  <c r="AK20" i="3" s="1"/>
  <c r="AD20" i="3"/>
  <c r="AL20" i="3" s="1"/>
  <c r="AE20" i="3"/>
  <c r="AM20" i="3" s="1"/>
  <c r="Z21" i="3"/>
  <c r="AH21" i="3" s="1"/>
  <c r="AA21" i="3"/>
  <c r="AI21" i="3" s="1"/>
  <c r="AB21" i="3"/>
  <c r="AJ21" i="3" s="1"/>
  <c r="AC21" i="3"/>
  <c r="AK21" i="3" s="1"/>
  <c r="AD21" i="3"/>
  <c r="AL21" i="3" s="1"/>
  <c r="AE21" i="3"/>
  <c r="AM21" i="3" s="1"/>
  <c r="Z22" i="3"/>
  <c r="AH22" i="3" s="1"/>
  <c r="AA22" i="3"/>
  <c r="AI22" i="3" s="1"/>
  <c r="AB22" i="3"/>
  <c r="AJ22" i="3" s="1"/>
  <c r="AC22" i="3"/>
  <c r="AK22" i="3" s="1"/>
  <c r="AD22" i="3"/>
  <c r="AL22" i="3" s="1"/>
  <c r="AE22" i="3"/>
  <c r="AM22" i="3" s="1"/>
  <c r="Z23" i="3"/>
  <c r="AH23" i="3" s="1"/>
  <c r="AA23" i="3"/>
  <c r="AI23" i="3" s="1"/>
  <c r="AB23" i="3"/>
  <c r="AJ23" i="3" s="1"/>
  <c r="AC23" i="3"/>
  <c r="AK23" i="3" s="1"/>
  <c r="AD23" i="3"/>
  <c r="AL23" i="3" s="1"/>
  <c r="AE23" i="3"/>
  <c r="AM23" i="3" s="1"/>
  <c r="Z24" i="3"/>
  <c r="AH24" i="3" s="1"/>
  <c r="AA24" i="3"/>
  <c r="AI24" i="3" s="1"/>
  <c r="AB24" i="3"/>
  <c r="AJ24" i="3" s="1"/>
  <c r="AC24" i="3"/>
  <c r="AK24" i="3" s="1"/>
  <c r="AD24" i="3"/>
  <c r="AL24" i="3" s="1"/>
  <c r="AE24" i="3"/>
  <c r="AM24" i="3" s="1"/>
  <c r="Z25" i="3"/>
  <c r="AH25" i="3" s="1"/>
  <c r="AA25" i="3"/>
  <c r="AI25" i="3" s="1"/>
  <c r="AB25" i="3"/>
  <c r="AJ25" i="3" s="1"/>
  <c r="AC25" i="3"/>
  <c r="AK25" i="3" s="1"/>
  <c r="AD25" i="3"/>
  <c r="AL25" i="3" s="1"/>
  <c r="AE25" i="3"/>
  <c r="AM25" i="3" s="1"/>
  <c r="Z26" i="3"/>
  <c r="AH26" i="3" s="1"/>
  <c r="AA26" i="3"/>
  <c r="AI26" i="3" s="1"/>
  <c r="AB26" i="3"/>
  <c r="AJ26" i="3" s="1"/>
  <c r="AC26" i="3"/>
  <c r="AK26" i="3" s="1"/>
  <c r="AD26" i="3"/>
  <c r="AL26" i="3" s="1"/>
  <c r="AE26" i="3"/>
  <c r="AM26" i="3" s="1"/>
  <c r="Z27" i="3"/>
  <c r="AH27" i="3" s="1"/>
  <c r="AA27" i="3"/>
  <c r="AI27" i="3" s="1"/>
  <c r="AB27" i="3"/>
  <c r="AJ27" i="3" s="1"/>
  <c r="AC27" i="3"/>
  <c r="AK27" i="3" s="1"/>
  <c r="AD27" i="3"/>
  <c r="AL27" i="3" s="1"/>
  <c r="AE27" i="3"/>
  <c r="AM27" i="3" s="1"/>
  <c r="Z28" i="3"/>
  <c r="AH28" i="3" s="1"/>
  <c r="AA28" i="3"/>
  <c r="AI28" i="3" s="1"/>
  <c r="AB28" i="3"/>
  <c r="AJ28" i="3" s="1"/>
  <c r="AC28" i="3"/>
  <c r="AK28" i="3" s="1"/>
  <c r="AD28" i="3"/>
  <c r="AL28" i="3" s="1"/>
  <c r="AE28" i="3"/>
  <c r="AM28" i="3" s="1"/>
  <c r="Z29" i="3"/>
  <c r="AH29" i="3" s="1"/>
  <c r="AA29" i="3"/>
  <c r="AI29" i="3" s="1"/>
  <c r="AB29" i="3"/>
  <c r="AJ29" i="3" s="1"/>
  <c r="AC29" i="3"/>
  <c r="AK29" i="3" s="1"/>
  <c r="AD29" i="3"/>
  <c r="AL29" i="3" s="1"/>
  <c r="AE29" i="3"/>
  <c r="AM29" i="3" s="1"/>
  <c r="Z30" i="3"/>
  <c r="AH30" i="3" s="1"/>
  <c r="AA30" i="3"/>
  <c r="AI30" i="3" s="1"/>
  <c r="AB30" i="3"/>
  <c r="AJ30" i="3" s="1"/>
  <c r="AC30" i="3"/>
  <c r="AK30" i="3" s="1"/>
  <c r="AD30" i="3"/>
  <c r="AL30" i="3" s="1"/>
  <c r="AE30" i="3"/>
  <c r="AM30" i="3" s="1"/>
  <c r="Z31" i="3"/>
  <c r="AH31" i="3" s="1"/>
  <c r="AA31" i="3"/>
  <c r="AI31" i="3" s="1"/>
  <c r="AB31" i="3"/>
  <c r="AJ31" i="3" s="1"/>
  <c r="AC31" i="3"/>
  <c r="AK31" i="3" s="1"/>
  <c r="AD31" i="3"/>
  <c r="AL31" i="3" s="1"/>
  <c r="AE31" i="3"/>
  <c r="AM31" i="3" s="1"/>
  <c r="Y31" i="3"/>
  <c r="AG31" i="3" s="1"/>
  <c r="Y30" i="3"/>
  <c r="AG30" i="3" s="1"/>
  <c r="Y29" i="3"/>
  <c r="AG29" i="3" s="1"/>
  <c r="Y28" i="3"/>
  <c r="AG28" i="3" s="1"/>
  <c r="Y27" i="3"/>
  <c r="AG27" i="3" s="1"/>
  <c r="Y26" i="3"/>
  <c r="AG26" i="3" s="1"/>
  <c r="Y25" i="3"/>
  <c r="AG25" i="3" s="1"/>
  <c r="Y24" i="3"/>
  <c r="AG24" i="3" s="1"/>
  <c r="Y23" i="3"/>
  <c r="AG23" i="3" s="1"/>
  <c r="Y22" i="3"/>
  <c r="AG22" i="3" s="1"/>
  <c r="Y21" i="3"/>
  <c r="AG21" i="3" s="1"/>
  <c r="Y20" i="3"/>
  <c r="AG20" i="3" s="1"/>
  <c r="Y19" i="3"/>
  <c r="AG19" i="3" s="1"/>
  <c r="Y18" i="3"/>
  <c r="AG18" i="3" s="1"/>
  <c r="Y17" i="3"/>
  <c r="AG17" i="3" s="1"/>
  <c r="Y16" i="3"/>
  <c r="AG16" i="3" s="1"/>
  <c r="Y15" i="3"/>
  <c r="AG15" i="3" s="1"/>
  <c r="Y14" i="3"/>
  <c r="AG14" i="3" s="1"/>
  <c r="Y13" i="3"/>
  <c r="AG13" i="3" s="1"/>
  <c r="Z12" i="3"/>
  <c r="AH12" i="3" s="1"/>
  <c r="AA12" i="3"/>
  <c r="AI12" i="3" s="1"/>
  <c r="AB12" i="3"/>
  <c r="AJ12" i="3" s="1"/>
  <c r="AC12" i="3"/>
  <c r="AK12" i="3" s="1"/>
  <c r="AD12" i="3"/>
  <c r="AL12" i="3" s="1"/>
  <c r="AE12" i="3"/>
  <c r="AM12" i="3" s="1"/>
  <c r="Y12" i="3"/>
  <c r="AG12" i="3" s="1"/>
  <c r="C5" i="3"/>
  <c r="D5" i="3"/>
  <c r="E5" i="3"/>
  <c r="F5" i="3"/>
  <c r="B5" i="3"/>
  <c r="B3" i="11"/>
  <c r="C3" i="11"/>
  <c r="D3" i="11"/>
  <c r="E3" i="11"/>
  <c r="F3" i="11"/>
  <c r="M2" i="3"/>
  <c r="A10" i="11" a="1"/>
  <c r="A10" i="11" s="1"/>
  <c r="I2" i="3"/>
  <c r="J2" i="3" s="1"/>
  <c r="H4" i="11"/>
  <c r="G4" i="11"/>
  <c r="F4" i="11"/>
  <c r="E4" i="11"/>
  <c r="D4" i="11"/>
  <c r="C4" i="11"/>
  <c r="B4" i="11"/>
  <c r="H3" i="11"/>
  <c r="G3" i="11"/>
  <c r="B1" i="3"/>
  <c r="P11" i="3" s="1"/>
  <c r="P1" i="3" s="1"/>
  <c r="C1" i="3"/>
  <c r="Q11" i="3" s="1"/>
  <c r="Q1" i="3" s="1"/>
  <c r="D1" i="3"/>
  <c r="R11" i="3" s="1"/>
  <c r="R1" i="3" s="1"/>
  <c r="E1" i="3"/>
  <c r="S11" i="3" s="1"/>
  <c r="S1" i="3" s="1"/>
  <c r="F1" i="3"/>
  <c r="T11" i="3" s="1"/>
  <c r="T1" i="3" s="1"/>
  <c r="G1" i="3"/>
  <c r="G11" i="3" s="1"/>
  <c r="H1" i="3"/>
  <c r="V11" i="3" s="1"/>
  <c r="V1" i="3" s="1"/>
  <c r="C9" i="3"/>
  <c r="D9" i="3"/>
  <c r="E9" i="3"/>
  <c r="F9" i="3"/>
  <c r="G9" i="3"/>
  <c r="H9" i="3"/>
  <c r="B9" i="3"/>
  <c r="H5" i="3"/>
  <c r="V7" i="3" l="1"/>
  <c r="R7" i="3"/>
  <c r="Q7" i="3"/>
  <c r="S6" i="3"/>
  <c r="H8" i="3"/>
  <c r="T6" i="3"/>
  <c r="U6" i="3"/>
  <c r="AJ13" i="3"/>
  <c r="S7" i="3" s="1"/>
  <c r="AL14" i="3"/>
  <c r="U7" i="3" s="1"/>
  <c r="P6" i="3"/>
  <c r="V6" i="3"/>
  <c r="AK14" i="3"/>
  <c r="T7" i="3" s="1"/>
  <c r="R6" i="3"/>
  <c r="Q6" i="3"/>
  <c r="P7" i="3"/>
  <c r="G6" i="3"/>
  <c r="C6" i="3"/>
  <c r="B6" i="3"/>
  <c r="H6" i="3"/>
  <c r="G8" i="3"/>
  <c r="F8" i="3"/>
  <c r="E8" i="3"/>
  <c r="D8" i="3"/>
  <c r="B8" i="3"/>
  <c r="D6" i="3"/>
  <c r="C8" i="3"/>
  <c r="F6" i="3"/>
  <c r="E6" i="3"/>
  <c r="U2" i="3"/>
  <c r="V2" i="3"/>
  <c r="R2" i="3"/>
  <c r="T2" i="3"/>
  <c r="Q2" i="3"/>
  <c r="P2" i="3"/>
  <c r="S2" i="3"/>
  <c r="H11" i="3"/>
  <c r="F11" i="3"/>
  <c r="C11" i="3"/>
  <c r="E11" i="3"/>
  <c r="D11" i="3"/>
  <c r="B11" i="3"/>
  <c r="U11" i="3"/>
  <c r="U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<sst xmlns="http://schemas.openxmlformats.org/spreadsheetml/2006/main" count="58" uniqueCount="41">
  <si>
    <t>Cards</t>
  </si>
  <si>
    <t>Curr Total</t>
  </si>
  <si>
    <t>Max Allowed</t>
  </si>
  <si>
    <t>Day</t>
  </si>
  <si>
    <t>Accuracy</t>
  </si>
  <si>
    <t>Player 1</t>
  </si>
  <si>
    <t>Player 2</t>
  </si>
  <si>
    <t>Order</t>
  </si>
  <si>
    <t>Player 3</t>
  </si>
  <si>
    <t>Player 4</t>
  </si>
  <si>
    <t>Player 5</t>
  </si>
  <si>
    <t>Player 6</t>
  </si>
  <si>
    <t>Player 7</t>
  </si>
  <si>
    <t>Enter Names</t>
  </si>
  <si>
    <t>Selected Order</t>
  </si>
  <si>
    <t>Name</t>
  </si>
  <si>
    <t>Bid</t>
  </si>
  <si>
    <t>Check</t>
  </si>
  <si>
    <t>Cell</t>
  </si>
  <si>
    <t>Points per Bid</t>
  </si>
  <si>
    <t>Num Payers</t>
  </si>
  <si>
    <t>Total (-ve)</t>
  </si>
  <si>
    <t>Total (+ve)</t>
  </si>
  <si>
    <t>Dealor</t>
  </si>
  <si>
    <t>Total Bids</t>
  </si>
  <si>
    <t>Rank (-ve)</t>
  </si>
  <si>
    <t>Rank (+ve)</t>
  </si>
  <si>
    <t>No. Of Trumps</t>
  </si>
  <si>
    <t>Trumps</t>
  </si>
  <si>
    <t>Sucessful Trumps</t>
  </si>
  <si>
    <t>Zero Bids</t>
  </si>
  <si>
    <t>Non Zero Bids</t>
  </si>
  <si>
    <t>B12</t>
  </si>
  <si>
    <t>C12</t>
  </si>
  <si>
    <t>D12</t>
  </si>
  <si>
    <t>E12</t>
  </si>
  <si>
    <t>F12</t>
  </si>
  <si>
    <t>G12</t>
  </si>
  <si>
    <t>H12</t>
  </si>
  <si>
    <t xml:space="preserve">Score data </t>
  </si>
  <si>
    <t xml:space="preserve">Bidding data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</si>
</sst>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rgb="FF9C0006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A7D00"/>
      <name val="Calibri"/>
      <family val="2"/>
    </font>
    <font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rgb="FF0061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20"/>
      <color rgb="FFFA7D00"/>
      <name val="Calibri"/>
      <family val="2"/>
      <scheme val="minor"/>
    </font>
    <font>
      <sz val="20"/>
      <color rgb="FF9C5700"/>
      <name val="Calibri"/>
      <family val="2"/>
      <scheme val="minor"/>
    </font>
    <font>
      <b/>
      <sz val="18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rgb="FFFFFFFF"/>
      </patternFill>
    </fill>
    <fill>
      <patternFill patternType="solid">
        <fgColor rgb="FFF4B084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</cellStyleXfs>
  <cellXfs count="42">
    <xf numFmtId="0" fontId="0" fillId="0" borderId="0" xfId="0"/>
    <xf numFmtId="0" fontId="5" fillId="6" borderId="0" xfId="0" applyFont="1" applyFill="1"/>
    <xf numFmtId="0" fontId="0" fillId="9" borderId="0" xfId="0" applyFill="1"/>
    <xf numFmtId="0" fontId="5" fillId="0" borderId="0" xfId="0" applyFont="1"/>
    <xf numFmtId="0" fontId="17" fillId="2" borderId="0" xfId="1" applyFont="1"/>
    <xf numFmtId="0" fontId="16" fillId="6" borderId="0" xfId="0" applyFont="1" applyFill="1"/>
    <xf numFmtId="0" fontId="5" fillId="12" borderId="0" xfId="0" applyFont="1" applyFill="1"/>
    <xf numFmtId="0" fontId="18" fillId="0" borderId="0" xfId="0" applyFont="1"/>
    <xf numFmtId="0" fontId="21" fillId="5" borderId="3" xfId="4" applyFont="1" applyBorder="1" applyAlignment="1" applyProtection="1">
      <alignment horizontal="center" vertic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2" fillId="8" borderId="4" xfId="0" applyFont="1" applyFill="1" applyBorder="1" applyProtection="1"/>
    <xf numFmtId="0" fontId="5" fillId="6" borderId="5" xfId="0" applyFont="1" applyFill="1" applyBorder="1" applyAlignment="1" applyProtection="1">
      <alignment horizontal="center"/>
    </xf>
    <xf numFmtId="0" fontId="5" fillId="6" borderId="6" xfId="0" applyFont="1" applyFill="1" applyBorder="1" applyAlignment="1" applyProtection="1">
      <alignment horizontal="center"/>
    </xf>
    <xf numFmtId="0" fontId="12" fillId="8" borderId="7" xfId="0" applyFont="1" applyFill="1" applyBorder="1" applyProtection="1"/>
    <xf numFmtId="0" fontId="5" fillId="0" borderId="8" xfId="0" applyFont="1" applyBorder="1" applyAlignment="1" applyProtection="1">
      <alignment horizontal="center"/>
    </xf>
    <xf numFmtId="0" fontId="5" fillId="0" borderId="9" xfId="0" applyFont="1" applyBorder="1" applyAlignment="1" applyProtection="1">
      <alignment horizontal="center"/>
    </xf>
    <xf numFmtId="0" fontId="12" fillId="6" borderId="4" xfId="0" applyFont="1" applyFill="1" applyBorder="1" applyProtection="1"/>
    <xf numFmtId="0" fontId="12" fillId="6" borderId="7" xfId="0" applyFont="1" applyFill="1" applyBorder="1" applyProtection="1"/>
    <xf numFmtId="0" fontId="12" fillId="0" borderId="8" xfId="0" applyFont="1" applyBorder="1" applyAlignment="1" applyProtection="1">
      <alignment horizontal="center"/>
    </xf>
    <xf numFmtId="0" fontId="12" fillId="0" borderId="9" xfId="0" applyFont="1" applyBorder="1" applyAlignment="1" applyProtection="1">
      <alignment horizontal="center"/>
    </xf>
    <xf numFmtId="0" fontId="12" fillId="8" borderId="0" xfId="0" applyFont="1" applyFill="1" applyProtection="1"/>
    <xf numFmtId="0" fontId="5" fillId="6" borderId="0" xfId="0" applyFont="1" applyFill="1" applyAlignment="1" applyProtection="1">
      <alignment horizontal="center"/>
    </xf>
    <xf numFmtId="0" fontId="5" fillId="8" borderId="0" xfId="0" applyFont="1" applyFill="1" applyProtection="1"/>
    <xf numFmtId="0" fontId="5" fillId="6" borderId="0" xfId="0" applyFont="1" applyFill="1" applyProtection="1"/>
    <xf numFmtId="0" fontId="23" fillId="5" borderId="3" xfId="4" applyFont="1" applyBorder="1" applyAlignment="1" applyProtection="1">
      <alignment horizontal="center" vertical="center"/>
    </xf>
    <xf numFmtId="0" fontId="7" fillId="7" borderId="0" xfId="0" applyFont="1" applyFill="1" applyAlignment="1" applyProtection="1">
      <alignment horizontal="center"/>
    </xf>
    <xf numFmtId="0" fontId="14" fillId="10" borderId="1" xfId="4" applyFont="1" applyFill="1" applyAlignment="1" applyProtection="1">
      <alignment horizontal="center" vertical="center"/>
    </xf>
    <xf numFmtId="0" fontId="6" fillId="4" borderId="0" xfId="3" applyFont="1" applyAlignment="1" applyProtection="1">
      <alignment horizontal="center"/>
    </xf>
    <xf numFmtId="0" fontId="14" fillId="10" borderId="0" xfId="4" applyFont="1" applyFill="1" applyBorder="1" applyAlignment="1" applyProtection="1">
      <alignment horizontal="center" vertical="center"/>
    </xf>
    <xf numFmtId="0" fontId="15" fillId="0" borderId="2" xfId="0" applyFont="1" applyBorder="1" applyAlignment="1" applyProtection="1">
      <alignment horizontal="center" vertical="center"/>
    </xf>
    <xf numFmtId="0" fontId="10" fillId="11" borderId="2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3" borderId="0" xfId="0" applyFill="1" applyAlignment="1" applyProtection="1">
      <alignment horizontal="center"/>
      <protection locked="0"/>
    </xf>
    <xf numFmtId="0" fontId="22" fillId="3" borderId="0" xfId="2" applyFont="1" applyAlignment="1" applyProtection="1">
      <alignment horizontal="center" vertical="center" textRotation="90"/>
    </xf>
    <xf numFmtId="0" fontId="2" fillId="3" borderId="0" xfId="2" applyAlignment="1" applyProtection="1">
      <alignment horizontal="center" vertical="center" textRotation="90"/>
    </xf>
    <xf numFmtId="0" fontId="24" fillId="0" borderId="0" xfId="0" applyFont="1" applyAlignment="1" applyProtection="1">
      <alignment horizontal="center" vertical="center"/>
    </xf>
  </cellXfs>
  <cellStyles count="5">
    <cellStyle name="Bad" xfId="3" builtinId="27"/>
    <cellStyle name="Calculation" xfId="4" builtinId="22"/>
    <cellStyle name="Good" xfId="1" builtinId="26"/>
    <cellStyle name="Neutral" xfId="2" builtinId="28"/>
    <cellStyle name="Normal" xfId="0" builtinId="0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rgb="FFFF7979"/>
        </patternFill>
      </fill>
    </dxf>
    <dxf>
      <fill>
        <patternFill>
          <bgColor rgb="FF70AD47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79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0</xdr:row>
          <xdr:rowOff>190500</xdr:rowOff>
        </xdr:from>
        <xdr:to>
          <xdr:col>10</xdr:col>
          <xdr:colOff>457200</xdr:colOff>
          <xdr:row>6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182880</xdr:colOff>
      <xdr:row>31</xdr:row>
      <xdr:rowOff>0</xdr:rowOff>
    </xdr:from>
    <xdr:ext cx="548640" cy="187872"/>
    <xdr:sp macro="[0]!New_Day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737580" y="8976360"/>
          <a:ext cx="548640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n-SG" sz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11</xdr:row>
          <xdr:rowOff>175260</xdr:rowOff>
        </xdr:from>
        <xdr:to>
          <xdr:col>10</xdr:col>
          <xdr:colOff>1089660</xdr:colOff>
          <xdr:row>12</xdr:row>
          <xdr:rowOff>274320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1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17</xdr:row>
          <xdr:rowOff>99060</xdr:rowOff>
        </xdr:from>
        <xdr:to>
          <xdr:col>13</xdr:col>
          <xdr:colOff>99060</xdr:colOff>
          <xdr:row>19</xdr:row>
          <xdr:rowOff>137160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Round</a:t>
              </a: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1219200</xdr:colOff>
          <xdr:row>2</xdr:row>
          <xdr:rowOff>0</xdr:rowOff>
        </xdr:from>
        <xdr:to>
          <xdr:col>13</xdr:col>
          <xdr:colOff>22860</xdr:colOff>
          <xdr:row>4</xdr:row>
          <xdr:rowOff>259080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Names and Dealors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13</xdr:row>
          <xdr:rowOff>83820</xdr:rowOff>
        </xdr:from>
        <xdr:to>
          <xdr:col>10</xdr:col>
          <xdr:colOff>1097280</xdr:colOff>
          <xdr:row>14</xdr:row>
          <xdr:rowOff>198120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2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15</xdr:row>
          <xdr:rowOff>7620</xdr:rowOff>
        </xdr:from>
        <xdr:to>
          <xdr:col>10</xdr:col>
          <xdr:colOff>1074420</xdr:colOff>
          <xdr:row>16</xdr:row>
          <xdr:rowOff>99060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3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16</xdr:row>
          <xdr:rowOff>213360</xdr:rowOff>
        </xdr:from>
        <xdr:to>
          <xdr:col>10</xdr:col>
          <xdr:colOff>1051560</xdr:colOff>
          <xdr:row>17</xdr:row>
          <xdr:rowOff>259080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4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18</xdr:row>
          <xdr:rowOff>60960</xdr:rowOff>
        </xdr:from>
        <xdr:to>
          <xdr:col>10</xdr:col>
          <xdr:colOff>1051560</xdr:colOff>
          <xdr:row>19</xdr:row>
          <xdr:rowOff>175260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5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19</xdr:row>
          <xdr:rowOff>289560</xdr:rowOff>
        </xdr:from>
        <xdr:to>
          <xdr:col>10</xdr:col>
          <xdr:colOff>1051560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6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21</xdr:row>
          <xdr:rowOff>106680</xdr:rowOff>
        </xdr:from>
        <xdr:to>
          <xdr:col>10</xdr:col>
          <xdr:colOff>1051560</xdr:colOff>
          <xdr:row>22</xdr:row>
          <xdr:rowOff>198120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7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</xdr:row>
          <xdr:rowOff>114300</xdr:rowOff>
        </xdr:from>
        <xdr:to>
          <xdr:col>11</xdr:col>
          <xdr:colOff>899160</xdr:colOff>
          <xdr:row>13</xdr:row>
          <xdr:rowOff>22860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1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13</xdr:row>
          <xdr:rowOff>137160</xdr:rowOff>
        </xdr:from>
        <xdr:to>
          <xdr:col>11</xdr:col>
          <xdr:colOff>899160</xdr:colOff>
          <xdr:row>14</xdr:row>
          <xdr:rowOff>236220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2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15</xdr:row>
          <xdr:rowOff>60960</xdr:rowOff>
        </xdr:from>
        <xdr:to>
          <xdr:col>11</xdr:col>
          <xdr:colOff>906780</xdr:colOff>
          <xdr:row>16</xdr:row>
          <xdr:rowOff>99060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3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18</xdr:row>
          <xdr:rowOff>83820</xdr:rowOff>
        </xdr:from>
        <xdr:to>
          <xdr:col>11</xdr:col>
          <xdr:colOff>906780</xdr:colOff>
          <xdr:row>19</xdr:row>
          <xdr:rowOff>160020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5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19</xdr:row>
          <xdr:rowOff>274320</xdr:rowOff>
        </xdr:from>
        <xdr:to>
          <xdr:col>11</xdr:col>
          <xdr:colOff>906780</xdr:colOff>
          <xdr:row>20</xdr:row>
          <xdr:rowOff>289560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6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21</xdr:row>
          <xdr:rowOff>99060</xdr:rowOff>
        </xdr:from>
        <xdr:to>
          <xdr:col>11</xdr:col>
          <xdr:colOff>937260</xdr:colOff>
          <xdr:row>22</xdr:row>
          <xdr:rowOff>198120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7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1226820</xdr:colOff>
          <xdr:row>20</xdr:row>
          <xdr:rowOff>251460</xdr:rowOff>
        </xdr:from>
        <xdr:to>
          <xdr:col>13</xdr:col>
          <xdr:colOff>99060</xdr:colOff>
          <xdr:row>22</xdr:row>
          <xdr:rowOff>106680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137160</xdr:rowOff>
        </xdr:from>
        <xdr:to>
          <xdr:col>13</xdr:col>
          <xdr:colOff>114300</xdr:colOff>
          <xdr:row>13</xdr:row>
          <xdr:rowOff>38100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14</xdr:row>
          <xdr:rowOff>152400</xdr:rowOff>
        </xdr:from>
        <xdr:to>
          <xdr:col>13</xdr:col>
          <xdr:colOff>121920</xdr:colOff>
          <xdr:row>15</xdr:row>
          <xdr:rowOff>266700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8</xdr:row>
          <xdr:rowOff>190500</xdr:rowOff>
        </xdr:from>
        <xdr:to>
          <xdr:col>9</xdr:col>
          <xdr:colOff>1150620</xdr:colOff>
          <xdr:row>9</xdr:row>
          <xdr:rowOff>198120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Dealors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16</xdr:row>
          <xdr:rowOff>213360</xdr:rowOff>
        </xdr:from>
        <xdr:to>
          <xdr:col>11</xdr:col>
          <xdr:colOff>906780</xdr:colOff>
          <xdr:row>17</xdr:row>
          <xdr:rowOff>266700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4 Lost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757A9-464E-47B3-9C30-64F2805265C1}">
  <sheetPr codeName="Sheet4"/>
  <dimension ref="A1:H16"/>
  <sheetViews>
    <sheetView workbookViewId="0">
      <selection activeCell="H32" sqref="H32"/>
    </sheetView>
  </sheetViews>
  <sheetFormatPr defaultRowHeight="14.4" x14ac:dyDescent="0.3"/>
  <cols>
    <col min="1" max="1" width="21.88671875" bestFit="1" customWidth="1"/>
    <col min="2" max="2" width="18" bestFit="1" customWidth="1"/>
    <col min="3" max="3" width="14.6640625" bestFit="1" customWidth="1"/>
    <col min="4" max="4" width="16.88671875" bestFit="1" customWidth="1"/>
    <col min="5" max="5" width="14.44140625" bestFit="1" customWidth="1"/>
    <col min="6" max="6" width="15.5546875" bestFit="1" customWidth="1"/>
    <col min="7" max="8" width="19.6640625" bestFit="1" customWidth="1"/>
  </cols>
  <sheetData>
    <row r="1" spans="1:8" ht="23.4" x14ac:dyDescent="0.45">
      <c r="A1" s="5" t="s">
        <v>7</v>
      </c>
      <c r="B1" s="5" t="s">
        <v>5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</row>
    <row r="2" spans="1:8" ht="23.4" x14ac:dyDescent="0.45">
      <c r="A2" s="6" t="s">
        <v>14</v>
      </c>
      <c r="B2" s="4" t="s">
        <v>5</v>
      </c>
      <c r="C2" s="4" t="s">
        <v>6</v>
      </c>
      <c r="D2" s="4" t="s">
        <v>8</v>
      </c>
      <c r="E2" s="4" t="s">
        <v>9</v>
      </c>
      <c r="F2" s="4" t="s">
        <v>10</v>
      </c>
      <c r="G2" s="4" t="s">
        <v>11</v>
      </c>
      <c r="H2" s="4" t="s">
        <v>12</v>
      </c>
    </row>
    <row r="3" spans="1:8" ht="23.4" hidden="1" x14ac:dyDescent="0.45">
      <c r="A3" s="1"/>
      <c r="B3" s="7" t="str">
        <f>_xlfn.CONCAT(B2, " Won")</f>
        <v>Player 1 Won</v>
      </c>
      <c r="C3" s="7" t="str">
        <f>_xlfn.CONCAT(C2, " Won")</f>
        <v>Player 2 Won</v>
      </c>
      <c r="D3" s="7" t="str">
        <f>_xlfn.CONCAT(D2, " Won")</f>
        <v>Player 3 Won</v>
      </c>
      <c r="E3" s="7" t="str">
        <f>_xlfn.CONCAT(E2, " Won")</f>
        <v>Player 4 Won</v>
      </c>
      <c r="F3" s="7" t="str">
        <f>_xlfn.CONCAT(F2, " Won")</f>
        <v>Player 5 Won</v>
      </c>
      <c r="G3" s="7" t="str">
        <f t="shared" ref="G3:H3" si="0">_xlfn.CONCAT(G2, " Won")</f>
        <v>Player 6 Won</v>
      </c>
      <c r="H3" s="7" t="str">
        <f t="shared" si="0"/>
        <v>Player 7 Won</v>
      </c>
    </row>
    <row r="4" spans="1:8" ht="23.4" hidden="1" x14ac:dyDescent="0.45">
      <c r="A4" s="1"/>
      <c r="B4" s="3" t="str">
        <f>_xlfn.CONCAT(B2, " Lost")</f>
        <v>Player 1 Lost</v>
      </c>
      <c r="C4" s="3" t="str">
        <f>_xlfn.CONCAT(C2, " Lost")</f>
        <v>Player 2 Lost</v>
      </c>
      <c r="D4" s="3" t="str">
        <f>_xlfn.CONCAT(D2, " Lost")</f>
        <v>Player 3 Lost</v>
      </c>
      <c r="E4" s="3" t="str">
        <f>_xlfn.CONCAT(E2, " Lost")</f>
        <v>Player 4 Lost</v>
      </c>
      <c r="F4" s="3" t="str">
        <f>_xlfn.CONCAT(F2, " Lost")</f>
        <v>Player 5 Lost</v>
      </c>
      <c r="G4" s="3" t="str">
        <f t="shared" ref="G4:H4" si="1">_xlfn.CONCAT(G2, " Lost")</f>
        <v>Player 6 Lost</v>
      </c>
      <c r="H4" s="3" t="str">
        <f t="shared" si="1"/>
        <v>Player 7 Lost</v>
      </c>
    </row>
    <row r="5" spans="1:8" ht="23.4" hidden="1" x14ac:dyDescent="0.45">
      <c r="A5" s="1"/>
      <c r="B5" s="3"/>
      <c r="C5" s="3"/>
      <c r="D5" s="3"/>
      <c r="E5" s="3"/>
      <c r="F5" s="3"/>
      <c r="G5" s="3"/>
      <c r="H5" s="3"/>
    </row>
    <row r="6" spans="1:8" ht="23.4" hidden="1" x14ac:dyDescent="0.45">
      <c r="A6" s="1"/>
      <c r="B6" s="3"/>
      <c r="C6" s="3"/>
      <c r="D6" s="3"/>
      <c r="E6" s="3"/>
      <c r="F6" s="3"/>
      <c r="G6" s="3"/>
      <c r="H6" s="3"/>
    </row>
    <row r="7" spans="1:8" ht="23.4" x14ac:dyDescent="0.45">
      <c r="A7" s="6" t="s">
        <v>13</v>
      </c>
      <c r="B7" s="4" t="s">
        <v>5</v>
      </c>
      <c r="C7" s="4" t="s">
        <v>6</v>
      </c>
      <c r="D7" s="4" t="s">
        <v>8</v>
      </c>
      <c r="E7" s="4" t="s">
        <v>9</v>
      </c>
      <c r="F7" s="4" t="s">
        <v>10</v>
      </c>
      <c r="G7" s="4" t="s">
        <v>11</v>
      </c>
      <c r="H7" s="4" t="s">
        <v>12</v>
      </c>
    </row>
    <row r="10" spans="1:8" hidden="1" x14ac:dyDescent="0.3">
      <c r="A10" t="str" cm="1">
        <f t="array" ref="A10:A16">TRANSPOSE(B2:H2)</f>
        <v>Player 1</v>
      </c>
    </row>
    <row r="11" spans="1:8" hidden="1" x14ac:dyDescent="0.3">
      <c r="A11" t="str">
        <v>Player 2</v>
      </c>
    </row>
    <row r="12" spans="1:8" hidden="1" x14ac:dyDescent="0.3">
      <c r="A12" t="str">
        <v>Player 3</v>
      </c>
    </row>
    <row r="13" spans="1:8" hidden="1" x14ac:dyDescent="0.3">
      <c r="A13" t="str">
        <v>Player 4</v>
      </c>
    </row>
    <row r="14" spans="1:8" hidden="1" x14ac:dyDescent="0.3">
      <c r="A14" t="str">
        <v>Player 5</v>
      </c>
    </row>
    <row r="15" spans="1:8" hidden="1" x14ac:dyDescent="0.3">
      <c r="A15" t="str">
        <v>Player 6</v>
      </c>
    </row>
    <row r="16" spans="1:8" hidden="1" x14ac:dyDescent="0.3">
      <c r="A16" t="str">
        <v>Player 7</v>
      </c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ESETTT">
                <anchor moveWithCells="1" sizeWithCells="1">
                  <from>
                    <xdr:col>8</xdr:col>
                    <xdr:colOff>160020</xdr:colOff>
                    <xdr:row>0</xdr:row>
                    <xdr:rowOff>190500</xdr:rowOff>
                  </from>
                  <to>
                    <xdr:col>10</xdr:col>
                    <xdr:colOff>457200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62582-0A07-44F8-98DC-EFE096B52C49}">
  <sheetPr codeName="Sheet3"/>
  <dimension ref="A1:AM150"/>
  <sheetViews>
    <sheetView tabSelected="1" zoomScale="85" zoomScaleNormal="85" workbookViewId="0">
      <selection activeCell="E13" sqref="E13:E14"/>
    </sheetView>
  </sheetViews>
  <sheetFormatPr defaultRowHeight="23.4" outlineLevelRow="1" x14ac:dyDescent="0.45"/>
  <cols>
    <col min="1" max="1" width="17.6640625" style="10" customWidth="1"/>
    <col min="2" max="8" width="10.88671875" style="10" customWidth="1"/>
    <col min="9" max="9" width="12" style="12" customWidth="1"/>
    <col min="10" max="10" width="18.109375" style="10" bestFit="1" customWidth="1"/>
    <col min="11" max="11" width="17.6640625" style="10" customWidth="1"/>
    <col min="12" max="12" width="18" style="10" customWidth="1"/>
    <col min="13" max="13" width="21.44140625" style="10" bestFit="1" customWidth="1"/>
    <col min="14" max="14" width="4.88671875" style="10" customWidth="1"/>
    <col min="15" max="15" width="25.33203125" style="10" bestFit="1" customWidth="1"/>
    <col min="16" max="16" width="9.33203125" style="10" customWidth="1"/>
    <col min="17" max="22" width="10.88671875" style="10" customWidth="1"/>
    <col min="23" max="24" width="8.88671875" style="10"/>
    <col min="25" max="25" width="13.109375" style="10" hidden="1" customWidth="1"/>
    <col min="26" max="26" width="10.6640625" style="10" hidden="1" customWidth="1"/>
    <col min="27" max="27" width="9" style="10" hidden="1" customWidth="1"/>
    <col min="28" max="28" width="10.109375" style="10" hidden="1" customWidth="1"/>
    <col min="29" max="29" width="8.6640625" style="10" hidden="1" customWidth="1"/>
    <col min="30" max="30" width="9.33203125" style="10" hidden="1" customWidth="1"/>
    <col min="31" max="32" width="11.6640625" style="10" hidden="1" customWidth="1"/>
    <col min="33" max="39" width="0" style="10" hidden="1" customWidth="1"/>
    <col min="40" max="16384" width="8.88671875" style="10"/>
  </cols>
  <sheetData>
    <row r="1" spans="1:39" ht="25.8" x14ac:dyDescent="0.4">
      <c r="A1" s="8" t="s">
        <v>15</v>
      </c>
      <c r="B1" s="31" t="str">
        <f>'Name Sheet'!B2</f>
        <v>Player 1</v>
      </c>
      <c r="C1" s="31" t="str">
        <f>'Name Sheet'!C2</f>
        <v>Player 2</v>
      </c>
      <c r="D1" s="31" t="str">
        <f>'Name Sheet'!D2</f>
        <v>Player 3</v>
      </c>
      <c r="E1" s="31" t="str">
        <f>'Name Sheet'!E2</f>
        <v>Player 4</v>
      </c>
      <c r="F1" s="31" t="str">
        <f>'Name Sheet'!F2</f>
        <v>Player 5</v>
      </c>
      <c r="G1" s="31" t="str">
        <f>'Name Sheet'!G2</f>
        <v>Player 6</v>
      </c>
      <c r="H1" s="31" t="str">
        <f>'Name Sheet'!H2</f>
        <v>Player 7</v>
      </c>
      <c r="I1" s="32" t="s">
        <v>1</v>
      </c>
      <c r="J1" s="32" t="s">
        <v>17</v>
      </c>
      <c r="K1" s="32" t="s">
        <v>2</v>
      </c>
      <c r="L1" s="33" t="s">
        <v>3</v>
      </c>
      <c r="M1" s="34" t="s">
        <v>20</v>
      </c>
      <c r="O1" s="30" t="s">
        <v>15</v>
      </c>
      <c r="P1" s="31" t="str">
        <f>P11</f>
        <v>Player 1</v>
      </c>
      <c r="Q1" s="31" t="str">
        <f t="shared" ref="Q1:V1" si="0">Q11</f>
        <v>Player 2</v>
      </c>
      <c r="R1" s="31" t="str">
        <f t="shared" si="0"/>
        <v>Player 3</v>
      </c>
      <c r="S1" s="31" t="str">
        <f t="shared" si="0"/>
        <v>Player 4</v>
      </c>
      <c r="T1" s="31" t="str">
        <f t="shared" si="0"/>
        <v>Player 5</v>
      </c>
      <c r="U1" s="31" t="str">
        <f t="shared" si="0"/>
        <v>Player 6</v>
      </c>
      <c r="V1" s="31" t="str">
        <f t="shared" si="0"/>
        <v>Player 7</v>
      </c>
    </row>
    <row r="2" spans="1:39" ht="36" customHeight="1" x14ac:dyDescent="0.45">
      <c r="A2" s="8" t="s">
        <v>16</v>
      </c>
      <c r="B2" s="11"/>
      <c r="C2" s="11"/>
      <c r="D2" s="11"/>
      <c r="E2" s="11"/>
      <c r="F2" s="11"/>
      <c r="G2" s="11"/>
      <c r="H2" s="11"/>
      <c r="I2" s="35">
        <f>SUMIF(B2:H2,"&gt;0" )</f>
        <v>0</v>
      </c>
      <c r="J2" s="36" t="str">
        <f>IF(I2 = K2, "NOT ALLOWED", IF(I2&gt;K2, "Over","Under" ))</f>
        <v>Under</v>
      </c>
      <c r="K2" s="35">
        <v>7</v>
      </c>
      <c r="L2" s="37">
        <v>1</v>
      </c>
      <c r="M2" s="41" t="str">
        <f>IF(7 - COUNTIF('Name Sheet'!B2:H2, "*Player*") = 0, "Enter Player Names",7 - COUNTIF('Name Sheet'!B2:H2, "*Player*"))</f>
        <v>Enter Player Names</v>
      </c>
      <c r="O2" s="30" t="s">
        <v>19</v>
      </c>
      <c r="P2" s="12">
        <f>B5/MAX(P5,1)</f>
        <v>0</v>
      </c>
      <c r="Q2" s="12">
        <f t="shared" ref="Q2:V2" si="1">C5/MAX(Q5,1)</f>
        <v>0</v>
      </c>
      <c r="R2" s="12">
        <f t="shared" si="1"/>
        <v>0</v>
      </c>
      <c r="S2" s="12">
        <f t="shared" si="1"/>
        <v>0</v>
      </c>
      <c r="T2" s="12">
        <f t="shared" si="1"/>
        <v>0</v>
      </c>
      <c r="U2" s="12">
        <f t="shared" si="1"/>
        <v>0</v>
      </c>
      <c r="V2" s="12">
        <f t="shared" si="1"/>
        <v>0</v>
      </c>
    </row>
    <row r="3" spans="1:39" ht="23.4" hidden="1" customHeight="1" x14ac:dyDescent="0.3">
      <c r="A3" s="8" t="s">
        <v>18</v>
      </c>
      <c r="B3" s="13" t="s">
        <v>32</v>
      </c>
      <c r="C3" s="13" t="s">
        <v>33</v>
      </c>
      <c r="D3" s="13" t="s">
        <v>34</v>
      </c>
      <c r="E3" s="13" t="s">
        <v>35</v>
      </c>
      <c r="F3" s="13" t="s">
        <v>36</v>
      </c>
      <c r="G3" s="13" t="s">
        <v>37</v>
      </c>
      <c r="H3" s="13" t="s">
        <v>38</v>
      </c>
      <c r="I3" s="10"/>
    </row>
    <row r="4" spans="1:39" ht="23.4" customHeight="1" thickBot="1" x14ac:dyDescent="0.55000000000000004">
      <c r="A4" s="14"/>
      <c r="B4" s="13"/>
      <c r="C4" s="13"/>
      <c r="D4" s="13"/>
      <c r="E4" s="13"/>
      <c r="F4" s="13"/>
      <c r="G4" s="13"/>
      <c r="H4" s="13"/>
      <c r="I4" s="10"/>
    </row>
    <row r="5" spans="1:39" ht="25.8" x14ac:dyDescent="0.5">
      <c r="A5" s="16" t="s">
        <v>21</v>
      </c>
      <c r="B5" s="17">
        <f>SUM(B12:B45)</f>
        <v>0</v>
      </c>
      <c r="C5" s="17">
        <f t="shared" ref="C5:F5" si="2">SUM(C12:C45)</f>
        <v>0</v>
      </c>
      <c r="D5" s="17">
        <f t="shared" si="2"/>
        <v>0</v>
      </c>
      <c r="E5" s="17">
        <f t="shared" si="2"/>
        <v>0</v>
      </c>
      <c r="F5" s="17">
        <f t="shared" si="2"/>
        <v>0</v>
      </c>
      <c r="G5" s="17">
        <f>SUM(G12:G25)</f>
        <v>0</v>
      </c>
      <c r="H5" s="18">
        <f t="shared" ref="H5" si="3">SUM(H12:H25)</f>
        <v>0</v>
      </c>
      <c r="O5" s="28" t="s">
        <v>24</v>
      </c>
      <c r="P5" s="29">
        <f>SUM(P12:P45)</f>
        <v>0</v>
      </c>
      <c r="Q5" s="29">
        <f t="shared" ref="Q5:V5" si="4">SUM(Q12:Q45)</f>
        <v>0</v>
      </c>
      <c r="R5" s="29">
        <f t="shared" si="4"/>
        <v>0</v>
      </c>
      <c r="S5" s="29">
        <f t="shared" si="4"/>
        <v>0</v>
      </c>
      <c r="T5" s="29">
        <f t="shared" si="4"/>
        <v>0</v>
      </c>
      <c r="U5" s="29">
        <f t="shared" si="4"/>
        <v>0</v>
      </c>
      <c r="V5" s="29">
        <f t="shared" si="4"/>
        <v>0</v>
      </c>
    </row>
    <row r="6" spans="1:39" ht="23.4" customHeight="1" thickBot="1" x14ac:dyDescent="0.55000000000000004">
      <c r="A6" s="19" t="s">
        <v>25</v>
      </c>
      <c r="B6" s="20">
        <f>RANK(B5,$B$5:$H$5)</f>
        <v>1</v>
      </c>
      <c r="C6" s="20">
        <f t="shared" ref="C6:H6" si="5">RANK(C5,$B$5:$H$5)</f>
        <v>1</v>
      </c>
      <c r="D6" s="20">
        <f t="shared" si="5"/>
        <v>1</v>
      </c>
      <c r="E6" s="20">
        <f t="shared" si="5"/>
        <v>1</v>
      </c>
      <c r="F6" s="20">
        <f t="shared" si="5"/>
        <v>1</v>
      </c>
      <c r="G6" s="20">
        <f t="shared" si="5"/>
        <v>1</v>
      </c>
      <c r="H6" s="21">
        <f t="shared" si="5"/>
        <v>1</v>
      </c>
      <c r="O6" s="28" t="s">
        <v>27</v>
      </c>
      <c r="P6" s="29">
        <f>SUMIF(Y12:Y45, "1")</f>
        <v>0</v>
      </c>
      <c r="Q6" s="29">
        <f t="shared" ref="Q6:V6" si="6">SUMIF(Z12:Z45, "1")</f>
        <v>0</v>
      </c>
      <c r="R6" s="29">
        <f t="shared" si="6"/>
        <v>0</v>
      </c>
      <c r="S6" s="29">
        <f t="shared" si="6"/>
        <v>0</v>
      </c>
      <c r="T6" s="29">
        <f t="shared" si="6"/>
        <v>0</v>
      </c>
      <c r="U6" s="29">
        <f t="shared" si="6"/>
        <v>0</v>
      </c>
      <c r="V6" s="29">
        <f t="shared" si="6"/>
        <v>0</v>
      </c>
    </row>
    <row r="7" spans="1:39" ht="25.8" x14ac:dyDescent="0.5">
      <c r="A7" s="22" t="s">
        <v>22</v>
      </c>
      <c r="B7" s="17">
        <f>SUMIF(B12:B45, "&gt;0")</f>
        <v>0</v>
      </c>
      <c r="C7" s="17">
        <f t="shared" ref="C7:H7" si="7">SUMIF(C12:C45, "&gt;0")</f>
        <v>0</v>
      </c>
      <c r="D7" s="17">
        <f t="shared" si="7"/>
        <v>0</v>
      </c>
      <c r="E7" s="17">
        <f t="shared" si="7"/>
        <v>0</v>
      </c>
      <c r="F7" s="17">
        <f t="shared" si="7"/>
        <v>0</v>
      </c>
      <c r="G7" s="17">
        <f t="shared" si="7"/>
        <v>0</v>
      </c>
      <c r="H7" s="17">
        <f t="shared" si="7"/>
        <v>0</v>
      </c>
      <c r="O7" s="28" t="s">
        <v>29</v>
      </c>
      <c r="P7" s="29">
        <f>SUMIF(AG12:AG45, "1")</f>
        <v>0</v>
      </c>
      <c r="Q7" s="29">
        <f t="shared" ref="Q7:V7" si="8">SUMIF(AH12:AH31, "1")</f>
        <v>0</v>
      </c>
      <c r="R7" s="29">
        <f t="shared" si="8"/>
        <v>0</v>
      </c>
      <c r="S7" s="29">
        <f t="shared" si="8"/>
        <v>0</v>
      </c>
      <c r="T7" s="29">
        <f t="shared" si="8"/>
        <v>0</v>
      </c>
      <c r="U7" s="29">
        <f t="shared" si="8"/>
        <v>0</v>
      </c>
      <c r="V7" s="29">
        <f t="shared" si="8"/>
        <v>0</v>
      </c>
    </row>
    <row r="8" spans="1:39" ht="29.4" customHeight="1" thickBot="1" x14ac:dyDescent="0.55000000000000004">
      <c r="A8" s="23" t="s">
        <v>26</v>
      </c>
      <c r="B8" s="20">
        <f>RANK(B7,$B$7:$H$7)</f>
        <v>1</v>
      </c>
      <c r="C8" s="20">
        <f t="shared" ref="C8:H8" si="9">RANK(C7,$B$7:$H$7)</f>
        <v>1</v>
      </c>
      <c r="D8" s="20">
        <f t="shared" si="9"/>
        <v>1</v>
      </c>
      <c r="E8" s="20">
        <f t="shared" si="9"/>
        <v>1</v>
      </c>
      <c r="F8" s="20">
        <f t="shared" si="9"/>
        <v>1</v>
      </c>
      <c r="G8" s="24">
        <f t="shared" si="9"/>
        <v>1</v>
      </c>
      <c r="H8" s="25">
        <f t="shared" si="9"/>
        <v>1</v>
      </c>
      <c r="O8" s="28" t="s">
        <v>31</v>
      </c>
      <c r="P8" s="29">
        <f>COUNTIF(P12:P45,"&lt;&gt;0") - COUNTIF(P12:P45, "")</f>
        <v>0</v>
      </c>
      <c r="Q8" s="29">
        <f t="shared" ref="Q8:V8" si="10">COUNTIF(Q12:Q45,"&lt;&gt;0") - COUNTIF(Q12:Q45, "")</f>
        <v>0</v>
      </c>
      <c r="R8" s="29">
        <f t="shared" si="10"/>
        <v>0</v>
      </c>
      <c r="S8" s="29">
        <f t="shared" si="10"/>
        <v>0</v>
      </c>
      <c r="T8" s="29">
        <f t="shared" si="10"/>
        <v>0</v>
      </c>
      <c r="U8" s="29">
        <f t="shared" si="10"/>
        <v>0</v>
      </c>
      <c r="V8" s="29">
        <f t="shared" si="10"/>
        <v>0</v>
      </c>
    </row>
    <row r="9" spans="1:39" ht="23.4" customHeight="1" x14ac:dyDescent="0.5">
      <c r="A9" s="26" t="s">
        <v>4</v>
      </c>
      <c r="B9" s="27" t="str">
        <f t="shared" ref="B9:H9" si="11">IFERROR((COUNTIF(B12:B25,"&gt;"&amp;0)/COUNTA(B12:B25)),"")</f>
        <v/>
      </c>
      <c r="C9" s="27" t="str">
        <f t="shared" si="11"/>
        <v/>
      </c>
      <c r="D9" s="27" t="str">
        <f t="shared" si="11"/>
        <v/>
      </c>
      <c r="E9" s="27" t="str">
        <f t="shared" si="11"/>
        <v/>
      </c>
      <c r="F9" s="27" t="str">
        <f t="shared" si="11"/>
        <v/>
      </c>
      <c r="G9" s="27" t="str">
        <f t="shared" si="11"/>
        <v/>
      </c>
      <c r="H9" s="27" t="str">
        <f t="shared" si="11"/>
        <v/>
      </c>
      <c r="O9" s="28" t="s">
        <v>30</v>
      </c>
      <c r="P9" s="29">
        <f>COUNT(P12:P45) - P8</f>
        <v>0</v>
      </c>
      <c r="Q9" s="29">
        <f t="shared" ref="Q9:V9" si="12">COUNT(Q12:Q45) - Q8</f>
        <v>0</v>
      </c>
      <c r="R9" s="29">
        <f t="shared" si="12"/>
        <v>0</v>
      </c>
      <c r="S9" s="29">
        <f t="shared" si="12"/>
        <v>0</v>
      </c>
      <c r="T9" s="29">
        <f t="shared" si="12"/>
        <v>0</v>
      </c>
      <c r="U9" s="29">
        <f t="shared" si="12"/>
        <v>0</v>
      </c>
      <c r="V9" s="29">
        <f t="shared" si="12"/>
        <v>0</v>
      </c>
    </row>
    <row r="10" spans="1:39" ht="23.4" customHeight="1" x14ac:dyDescent="0.3">
      <c r="I10" s="10"/>
    </row>
    <row r="11" spans="1:39" ht="19.5" customHeight="1" x14ac:dyDescent="0.4">
      <c r="A11" s="39" t="s">
        <v>39</v>
      </c>
      <c r="B11" s="31" t="str">
        <f t="shared" ref="B11:H11" si="13">B1</f>
        <v>Player 1</v>
      </c>
      <c r="C11" s="31" t="str">
        <f t="shared" si="13"/>
        <v>Player 2</v>
      </c>
      <c r="D11" s="31" t="str">
        <f t="shared" si="13"/>
        <v>Player 3</v>
      </c>
      <c r="E11" s="31" t="str">
        <f t="shared" si="13"/>
        <v>Player 4</v>
      </c>
      <c r="F11" s="31" t="str">
        <f t="shared" si="13"/>
        <v>Player 5</v>
      </c>
      <c r="G11" s="31" t="str">
        <f t="shared" si="13"/>
        <v>Player 6</v>
      </c>
      <c r="H11" s="31" t="str">
        <f t="shared" si="13"/>
        <v>Player 7</v>
      </c>
      <c r="I11" s="9" t="s">
        <v>0</v>
      </c>
      <c r="J11" s="9" t="s">
        <v>23</v>
      </c>
      <c r="O11" s="39" t="s">
        <v>40</v>
      </c>
      <c r="P11" s="31" t="str">
        <f>B1</f>
        <v>Player 1</v>
      </c>
      <c r="Q11" s="31" t="str">
        <f t="shared" ref="Q11:V11" si="14">C1</f>
        <v>Player 2</v>
      </c>
      <c r="R11" s="31" t="str">
        <f t="shared" si="14"/>
        <v>Player 3</v>
      </c>
      <c r="S11" s="31" t="str">
        <f t="shared" si="14"/>
        <v>Player 4</v>
      </c>
      <c r="T11" s="31" t="str">
        <f t="shared" si="14"/>
        <v>Player 5</v>
      </c>
      <c r="U11" s="31" t="str">
        <f t="shared" si="14"/>
        <v>Player 6</v>
      </c>
      <c r="V11" s="31" t="str">
        <f t="shared" si="14"/>
        <v>Player 7</v>
      </c>
      <c r="W11" s="31" t="s">
        <v>0</v>
      </c>
      <c r="Y11" s="38" t="s">
        <v>28</v>
      </c>
      <c r="Z11" s="38"/>
      <c r="AA11" s="38"/>
      <c r="AB11" s="38"/>
      <c r="AC11" s="38"/>
      <c r="AD11" s="38"/>
      <c r="AE11" s="38"/>
      <c r="AG11" s="38" t="s">
        <v>29</v>
      </c>
      <c r="AH11" s="38"/>
      <c r="AI11" s="38"/>
      <c r="AJ11" s="38"/>
      <c r="AK11" s="38"/>
      <c r="AL11" s="38"/>
      <c r="AM11" s="38"/>
    </row>
    <row r="12" spans="1:39" x14ac:dyDescent="0.45">
      <c r="A12" s="40"/>
      <c r="B12" s="2"/>
      <c r="C12" s="2"/>
      <c r="D12" s="2"/>
      <c r="E12" s="2"/>
      <c r="F12" s="2"/>
      <c r="G12" s="2"/>
      <c r="H12" s="2"/>
      <c r="I12"/>
      <c r="J12"/>
      <c r="O12" s="40"/>
      <c r="P12"/>
      <c r="Q12"/>
      <c r="R12"/>
      <c r="S12"/>
      <c r="T12"/>
      <c r="U12"/>
      <c r="V12"/>
      <c r="W12" s="12">
        <v>7</v>
      </c>
      <c r="Y12" s="10" t="e">
        <f>RANK(P12,$P$12:$V$12)</f>
        <v>#N/A</v>
      </c>
      <c r="Z12" s="10" t="e">
        <f t="shared" ref="Z12:AE12" si="15">RANK(Q12,$P$12:$V$12)</f>
        <v>#N/A</v>
      </c>
      <c r="AA12" s="10" t="e">
        <f t="shared" si="15"/>
        <v>#N/A</v>
      </c>
      <c r="AB12" s="10" t="e">
        <f t="shared" si="15"/>
        <v>#N/A</v>
      </c>
      <c r="AC12" s="10" t="e">
        <f t="shared" si="15"/>
        <v>#N/A</v>
      </c>
      <c r="AD12" s="10" t="e">
        <f t="shared" si="15"/>
        <v>#N/A</v>
      </c>
      <c r="AE12" s="10" t="e">
        <f t="shared" si="15"/>
        <v>#N/A</v>
      </c>
      <c r="AG12" s="10" t="e">
        <f>IF(AND(Y12 = 1, B12&gt; 0), 1,0)</f>
        <v>#N/A</v>
      </c>
      <c r="AH12" s="10" t="e">
        <f t="shared" ref="AH12:AM27" si="16">IF(AND(Z12 = 1, C12&gt; 0), 1,0)</f>
        <v>#N/A</v>
      </c>
      <c r="AI12" s="10" t="e">
        <f t="shared" si="16"/>
        <v>#N/A</v>
      </c>
      <c r="AJ12" s="10" t="e">
        <f t="shared" si="16"/>
        <v>#N/A</v>
      </c>
      <c r="AK12" s="10" t="e">
        <f t="shared" si="16"/>
        <v>#N/A</v>
      </c>
      <c r="AL12" s="10" t="e">
        <f t="shared" si="16"/>
        <v>#N/A</v>
      </c>
      <c r="AM12" s="10" t="e">
        <f t="shared" si="16"/>
        <v>#N/A</v>
      </c>
    </row>
    <row r="13" spans="1:39" x14ac:dyDescent="0.45">
      <c r="A13" s="40"/>
      <c r="B13"/>
      <c r="C13"/>
      <c r="D13"/>
      <c r="E13"/>
      <c r="F13"/>
      <c r="G13"/>
      <c r="H13"/>
      <c r="I13"/>
      <c r="J13"/>
      <c r="O13" s="40"/>
      <c r="P13"/>
      <c r="Q13"/>
      <c r="R13"/>
      <c r="S13"/>
      <c r="T13"/>
      <c r="U13"/>
      <c r="V13"/>
      <c r="W13" s="12">
        <v>6</v>
      </c>
      <c r="Y13" s="10" t="e">
        <f>RANK(P13,$P$13:$V$13)</f>
        <v>#N/A</v>
      </c>
      <c r="Z13" s="10" t="e">
        <f t="shared" ref="Z13:AE13" si="17">RANK(Q13,$P$13:$V$13)</f>
        <v>#N/A</v>
      </c>
      <c r="AA13" s="10" t="e">
        <f t="shared" si="17"/>
        <v>#N/A</v>
      </c>
      <c r="AB13" s="10" t="e">
        <f t="shared" si="17"/>
        <v>#N/A</v>
      </c>
      <c r="AC13" s="10" t="e">
        <f t="shared" si="17"/>
        <v>#N/A</v>
      </c>
      <c r="AD13" s="10" t="e">
        <f t="shared" si="17"/>
        <v>#N/A</v>
      </c>
      <c r="AE13" s="10" t="e">
        <f t="shared" si="17"/>
        <v>#N/A</v>
      </c>
      <c r="AG13" s="10" t="e">
        <f t="shared" ref="AG13:AG31" si="18">IF(AND(Y13 = 1, B13&gt; 0), 1,0)</f>
        <v>#N/A</v>
      </c>
      <c r="AH13" s="10" t="e">
        <f t="shared" si="16"/>
        <v>#N/A</v>
      </c>
      <c r="AI13" s="10" t="e">
        <f t="shared" si="16"/>
        <v>#N/A</v>
      </c>
      <c r="AJ13" s="10" t="e">
        <f t="shared" si="16"/>
        <v>#N/A</v>
      </c>
      <c r="AK13" s="10" t="e">
        <f t="shared" si="16"/>
        <v>#N/A</v>
      </c>
      <c r="AL13" s="10" t="e">
        <f t="shared" si="16"/>
        <v>#N/A</v>
      </c>
      <c r="AM13" s="10" t="e">
        <f t="shared" si="16"/>
        <v>#N/A</v>
      </c>
    </row>
    <row r="14" spans="1:39" x14ac:dyDescent="0.45">
      <c r="A14" s="40"/>
      <c r="B14"/>
      <c r="C14"/>
      <c r="D14"/>
      <c r="E14"/>
      <c r="F14"/>
      <c r="G14"/>
      <c r="H14"/>
      <c r="I14"/>
      <c r="J14"/>
      <c r="O14" s="40"/>
      <c r="P14"/>
      <c r="Q14"/>
      <c r="R14"/>
      <c r="S14"/>
      <c r="T14"/>
      <c r="U14"/>
      <c r="V14"/>
      <c r="W14" s="12">
        <v>5</v>
      </c>
      <c r="Y14" s="10" t="e">
        <f>RANK(P14,$P$14:$V$14)</f>
        <v>#N/A</v>
      </c>
      <c r="Z14" s="10" t="e">
        <f t="shared" ref="Z14:AE14" si="19">RANK(Q14,$P$14:$V$14)</f>
        <v>#N/A</v>
      </c>
      <c r="AA14" s="10" t="e">
        <f t="shared" si="19"/>
        <v>#N/A</v>
      </c>
      <c r="AB14" s="10" t="e">
        <f t="shared" si="19"/>
        <v>#N/A</v>
      </c>
      <c r="AC14" s="10" t="e">
        <f t="shared" si="19"/>
        <v>#N/A</v>
      </c>
      <c r="AD14" s="10" t="e">
        <f t="shared" si="19"/>
        <v>#N/A</v>
      </c>
      <c r="AE14" s="10" t="e">
        <f t="shared" si="19"/>
        <v>#N/A</v>
      </c>
      <c r="AG14" s="10" t="e">
        <f t="shared" si="18"/>
        <v>#N/A</v>
      </c>
      <c r="AH14" s="10" t="e">
        <f t="shared" si="16"/>
        <v>#N/A</v>
      </c>
      <c r="AI14" s="10" t="e">
        <f t="shared" si="16"/>
        <v>#N/A</v>
      </c>
      <c r="AJ14" s="10" t="e">
        <f t="shared" si="16"/>
        <v>#N/A</v>
      </c>
      <c r="AK14" s="10" t="e">
        <f t="shared" si="16"/>
        <v>#N/A</v>
      </c>
      <c r="AL14" s="10" t="e">
        <f t="shared" si="16"/>
        <v>#N/A</v>
      </c>
      <c r="AM14" s="10" t="e">
        <f t="shared" si="16"/>
        <v>#N/A</v>
      </c>
    </row>
    <row r="15" spans="1:39" x14ac:dyDescent="0.45">
      <c r="A15" s="40"/>
      <c r="B15"/>
      <c r="C15"/>
      <c r="D15"/>
      <c r="E15"/>
      <c r="F15"/>
      <c r="G15"/>
      <c r="H15"/>
      <c r="I15"/>
      <c r="J15"/>
      <c r="O15" s="40"/>
      <c r="P15"/>
      <c r="Q15"/>
      <c r="R15"/>
      <c r="S15"/>
      <c r="T15"/>
      <c r="U15"/>
      <c r="V15"/>
      <c r="W15" s="12">
        <v>4</v>
      </c>
      <c r="Y15" s="10" t="e">
        <f>RANK(P15,$P$15:$V$15)</f>
        <v>#N/A</v>
      </c>
      <c r="Z15" s="10" t="e">
        <f t="shared" ref="Z15:AE15" si="20">RANK(Q15,$P$15:$V$15)</f>
        <v>#N/A</v>
      </c>
      <c r="AA15" s="10" t="e">
        <f t="shared" si="20"/>
        <v>#N/A</v>
      </c>
      <c r="AB15" s="10" t="e">
        <f t="shared" si="20"/>
        <v>#N/A</v>
      </c>
      <c r="AC15" s="10" t="e">
        <f t="shared" si="20"/>
        <v>#N/A</v>
      </c>
      <c r="AD15" s="10" t="e">
        <f t="shared" si="20"/>
        <v>#N/A</v>
      </c>
      <c r="AE15" s="10" t="e">
        <f t="shared" si="20"/>
        <v>#N/A</v>
      </c>
      <c r="AG15" s="10" t="e">
        <f t="shared" si="18"/>
        <v>#N/A</v>
      </c>
      <c r="AH15" s="10" t="e">
        <f t="shared" si="16"/>
        <v>#N/A</v>
      </c>
      <c r="AI15" s="10" t="e">
        <f t="shared" si="16"/>
        <v>#N/A</v>
      </c>
      <c r="AJ15" s="10" t="e">
        <f t="shared" si="16"/>
        <v>#N/A</v>
      </c>
      <c r="AK15" s="10" t="e">
        <f t="shared" si="16"/>
        <v>#N/A</v>
      </c>
      <c r="AL15" s="10" t="e">
        <f t="shared" si="16"/>
        <v>#N/A</v>
      </c>
      <c r="AM15" s="10" t="e">
        <f t="shared" si="16"/>
        <v>#N/A</v>
      </c>
    </row>
    <row r="16" spans="1:39" x14ac:dyDescent="0.45">
      <c r="A16" s="40"/>
      <c r="B16"/>
      <c r="C16"/>
      <c r="D16"/>
      <c r="E16"/>
      <c r="F16"/>
      <c r="G16"/>
      <c r="H16"/>
      <c r="I16"/>
      <c r="J16"/>
      <c r="O16" s="40"/>
      <c r="P16"/>
      <c r="Q16"/>
      <c r="R16"/>
      <c r="S16"/>
      <c r="T16"/>
      <c r="U16"/>
      <c r="V16"/>
      <c r="W16" s="12">
        <v>3</v>
      </c>
      <c r="Y16" s="10" t="e">
        <f>RANK(P16,$P$16:$V$16)</f>
        <v>#N/A</v>
      </c>
      <c r="Z16" s="10" t="e">
        <f t="shared" ref="Z16:AE16" si="21">RANK(Q16,$P$16:$V$16)</f>
        <v>#N/A</v>
      </c>
      <c r="AA16" s="10" t="e">
        <f t="shared" si="21"/>
        <v>#N/A</v>
      </c>
      <c r="AB16" s="10" t="e">
        <f t="shared" si="21"/>
        <v>#N/A</v>
      </c>
      <c r="AC16" s="10" t="e">
        <f t="shared" si="21"/>
        <v>#N/A</v>
      </c>
      <c r="AD16" s="10" t="e">
        <f t="shared" si="21"/>
        <v>#N/A</v>
      </c>
      <c r="AE16" s="10" t="e">
        <f t="shared" si="21"/>
        <v>#N/A</v>
      </c>
      <c r="AG16" s="10" t="e">
        <f t="shared" si="18"/>
        <v>#N/A</v>
      </c>
      <c r="AH16" s="10" t="e">
        <f t="shared" si="16"/>
        <v>#N/A</v>
      </c>
      <c r="AI16" s="10" t="e">
        <f t="shared" si="16"/>
        <v>#N/A</v>
      </c>
      <c r="AJ16" s="10" t="e">
        <f t="shared" si="16"/>
        <v>#N/A</v>
      </c>
      <c r="AK16" s="10" t="e">
        <f t="shared" si="16"/>
        <v>#N/A</v>
      </c>
      <c r="AL16" s="10" t="e">
        <f t="shared" si="16"/>
        <v>#N/A</v>
      </c>
      <c r="AM16" s="10" t="e">
        <f t="shared" si="16"/>
        <v>#N/A</v>
      </c>
    </row>
    <row r="17" spans="1:39" x14ac:dyDescent="0.45">
      <c r="A17" s="40"/>
      <c r="B17"/>
      <c r="C17"/>
      <c r="D17"/>
      <c r="E17"/>
      <c r="F17"/>
      <c r="G17"/>
      <c r="H17"/>
      <c r="I17"/>
      <c r="J17"/>
      <c r="O17" s="40"/>
      <c r="P17"/>
      <c r="Q17"/>
      <c r="R17"/>
      <c r="S17"/>
      <c r="T17"/>
      <c r="U17"/>
      <c r="V17"/>
      <c r="W17" s="12">
        <v>2</v>
      </c>
      <c r="Y17" s="10" t="e">
        <f>RANK(P17,$P$17:$V$17)</f>
        <v>#N/A</v>
      </c>
      <c r="Z17" s="10" t="e">
        <f t="shared" ref="Z17:AE17" si="22">RANK(Q17,$P$17:$V$17)</f>
        <v>#N/A</v>
      </c>
      <c r="AA17" s="10" t="e">
        <f t="shared" si="22"/>
        <v>#N/A</v>
      </c>
      <c r="AB17" s="10" t="e">
        <f t="shared" si="22"/>
        <v>#N/A</v>
      </c>
      <c r="AC17" s="10" t="e">
        <f t="shared" si="22"/>
        <v>#N/A</v>
      </c>
      <c r="AD17" s="10" t="e">
        <f t="shared" si="22"/>
        <v>#N/A</v>
      </c>
      <c r="AE17" s="10" t="e">
        <f t="shared" si="22"/>
        <v>#N/A</v>
      </c>
      <c r="AG17" s="10" t="e">
        <f t="shared" si="18"/>
        <v>#N/A</v>
      </c>
      <c r="AH17" s="10" t="e">
        <f t="shared" si="16"/>
        <v>#N/A</v>
      </c>
      <c r="AI17" s="10" t="e">
        <f t="shared" si="16"/>
        <v>#N/A</v>
      </c>
      <c r="AJ17" s="10" t="e">
        <f t="shared" si="16"/>
        <v>#N/A</v>
      </c>
      <c r="AK17" s="10" t="e">
        <f t="shared" si="16"/>
        <v>#N/A</v>
      </c>
      <c r="AL17" s="10" t="e">
        <f t="shared" si="16"/>
        <v>#N/A</v>
      </c>
      <c r="AM17" s="10" t="e">
        <f t="shared" si="16"/>
        <v>#N/A</v>
      </c>
    </row>
    <row r="18" spans="1:39" x14ac:dyDescent="0.45">
      <c r="A18" s="40"/>
      <c r="B18"/>
      <c r="C18"/>
      <c r="D18"/>
      <c r="E18"/>
      <c r="F18"/>
      <c r="G18"/>
      <c r="H18"/>
      <c r="I18"/>
      <c r="J18"/>
      <c r="O18" s="40"/>
      <c r="P18"/>
      <c r="Q18"/>
      <c r="R18"/>
      <c r="S18"/>
      <c r="T18"/>
      <c r="U18"/>
      <c r="V18"/>
      <c r="W18" s="12">
        <v>1</v>
      </c>
      <c r="Y18" s="10" t="e">
        <f>RANK(P18,$P$18:$V$18)</f>
        <v>#N/A</v>
      </c>
      <c r="Z18" s="10" t="e">
        <f t="shared" ref="Z18:AE18" si="23">RANK(Q18,$P$18:$V$18)</f>
        <v>#N/A</v>
      </c>
      <c r="AA18" s="10" t="e">
        <f t="shared" si="23"/>
        <v>#N/A</v>
      </c>
      <c r="AB18" s="10" t="e">
        <f t="shared" si="23"/>
        <v>#N/A</v>
      </c>
      <c r="AC18" s="10" t="e">
        <f t="shared" si="23"/>
        <v>#N/A</v>
      </c>
      <c r="AD18" s="10" t="e">
        <f t="shared" si="23"/>
        <v>#N/A</v>
      </c>
      <c r="AE18" s="10" t="e">
        <f t="shared" si="23"/>
        <v>#N/A</v>
      </c>
      <c r="AG18" s="10" t="e">
        <f t="shared" si="18"/>
        <v>#N/A</v>
      </c>
      <c r="AH18" s="10" t="e">
        <f t="shared" si="16"/>
        <v>#N/A</v>
      </c>
      <c r="AI18" s="10" t="e">
        <f t="shared" si="16"/>
        <v>#N/A</v>
      </c>
      <c r="AJ18" s="10" t="e">
        <f t="shared" si="16"/>
        <v>#N/A</v>
      </c>
      <c r="AK18" s="10" t="e">
        <f t="shared" si="16"/>
        <v>#N/A</v>
      </c>
      <c r="AL18" s="10" t="e">
        <f t="shared" si="16"/>
        <v>#N/A</v>
      </c>
      <c r="AM18" s="10" t="e">
        <f t="shared" si="16"/>
        <v>#N/A</v>
      </c>
    </row>
    <row r="19" spans="1:39" ht="20.25" customHeight="1" x14ac:dyDescent="0.45">
      <c r="A19" s="40"/>
      <c r="B19"/>
      <c r="C19"/>
      <c r="D19"/>
      <c r="E19"/>
      <c r="F19"/>
      <c r="G19"/>
      <c r="H19"/>
      <c r="I19"/>
      <c r="J19"/>
      <c r="O19" s="40"/>
      <c r="P19"/>
      <c r="Q19"/>
      <c r="R19"/>
      <c r="S19"/>
      <c r="T19"/>
      <c r="U19"/>
      <c r="V19"/>
      <c r="W19" s="12">
        <v>1</v>
      </c>
      <c r="Y19" s="10" t="e">
        <f>RANK(P19,$P$19:$V$19)</f>
        <v>#N/A</v>
      </c>
      <c r="Z19" s="10" t="e">
        <f t="shared" ref="Z19:AE19" si="24">RANK(Q19,$P$19:$V$19)</f>
        <v>#N/A</v>
      </c>
      <c r="AA19" s="10" t="e">
        <f t="shared" si="24"/>
        <v>#N/A</v>
      </c>
      <c r="AB19" s="10" t="e">
        <f t="shared" si="24"/>
        <v>#N/A</v>
      </c>
      <c r="AC19" s="10" t="e">
        <f t="shared" si="24"/>
        <v>#N/A</v>
      </c>
      <c r="AD19" s="10" t="e">
        <f t="shared" si="24"/>
        <v>#N/A</v>
      </c>
      <c r="AE19" s="10" t="e">
        <f t="shared" si="24"/>
        <v>#N/A</v>
      </c>
      <c r="AG19" s="10" t="e">
        <f t="shared" si="18"/>
        <v>#N/A</v>
      </c>
      <c r="AH19" s="10" t="e">
        <f t="shared" si="16"/>
        <v>#N/A</v>
      </c>
      <c r="AI19" s="10" t="e">
        <f t="shared" si="16"/>
        <v>#N/A</v>
      </c>
      <c r="AJ19" s="10" t="e">
        <f t="shared" si="16"/>
        <v>#N/A</v>
      </c>
      <c r="AK19" s="10" t="e">
        <f t="shared" si="16"/>
        <v>#N/A</v>
      </c>
      <c r="AL19" s="10" t="e">
        <f t="shared" si="16"/>
        <v>#N/A</v>
      </c>
      <c r="AM19" s="10" t="e">
        <f t="shared" si="16"/>
        <v>#N/A</v>
      </c>
    </row>
    <row r="20" spans="1:39" x14ac:dyDescent="0.45">
      <c r="A20" s="40"/>
      <c r="B20"/>
      <c r="C20"/>
      <c r="D20"/>
      <c r="E20"/>
      <c r="F20"/>
      <c r="G20"/>
      <c r="H20"/>
      <c r="I20"/>
      <c r="J20"/>
      <c r="O20" s="40"/>
      <c r="P20"/>
      <c r="Q20"/>
      <c r="R20"/>
      <c r="S20"/>
      <c r="T20"/>
      <c r="U20"/>
      <c r="V20"/>
      <c r="W20" s="12">
        <v>2</v>
      </c>
      <c r="Y20" s="10" t="e">
        <f>RANK(P20,$P$20:$V$20)</f>
        <v>#N/A</v>
      </c>
      <c r="Z20" s="10" t="e">
        <f t="shared" ref="Z20:AE20" si="25">RANK(Q20,$P$20:$V$20)</f>
        <v>#N/A</v>
      </c>
      <c r="AA20" s="10" t="e">
        <f t="shared" si="25"/>
        <v>#N/A</v>
      </c>
      <c r="AB20" s="10" t="e">
        <f t="shared" si="25"/>
        <v>#N/A</v>
      </c>
      <c r="AC20" s="10" t="e">
        <f t="shared" si="25"/>
        <v>#N/A</v>
      </c>
      <c r="AD20" s="10" t="e">
        <f t="shared" si="25"/>
        <v>#N/A</v>
      </c>
      <c r="AE20" s="10" t="e">
        <f t="shared" si="25"/>
        <v>#N/A</v>
      </c>
      <c r="AG20" s="10" t="e">
        <f t="shared" si="18"/>
        <v>#N/A</v>
      </c>
      <c r="AH20" s="10" t="e">
        <f t="shared" si="16"/>
        <v>#N/A</v>
      </c>
      <c r="AI20" s="10" t="e">
        <f t="shared" si="16"/>
        <v>#N/A</v>
      </c>
      <c r="AJ20" s="10" t="e">
        <f t="shared" si="16"/>
        <v>#N/A</v>
      </c>
      <c r="AK20" s="10" t="e">
        <f t="shared" si="16"/>
        <v>#N/A</v>
      </c>
      <c r="AL20" s="10" t="e">
        <f t="shared" si="16"/>
        <v>#N/A</v>
      </c>
      <c r="AM20" s="10" t="e">
        <f t="shared" si="16"/>
        <v>#N/A</v>
      </c>
    </row>
    <row r="21" spans="1:39" x14ac:dyDescent="0.45">
      <c r="A21" s="40"/>
      <c r="B21"/>
      <c r="C21"/>
      <c r="D21"/>
      <c r="E21"/>
      <c r="F21"/>
      <c r="G21"/>
      <c r="H21"/>
      <c r="I21"/>
      <c r="J21"/>
      <c r="O21" s="40"/>
      <c r="P21"/>
      <c r="Q21"/>
      <c r="R21"/>
      <c r="S21"/>
      <c r="T21"/>
      <c r="U21"/>
      <c r="V21"/>
      <c r="W21" s="12">
        <v>3</v>
      </c>
      <c r="Y21" s="10" t="e">
        <f>RANK(P21,$P$21:$V$21)</f>
        <v>#N/A</v>
      </c>
      <c r="Z21" s="10" t="e">
        <f t="shared" ref="Z21:AE21" si="26">RANK(Q21,$P$21:$V$21)</f>
        <v>#N/A</v>
      </c>
      <c r="AA21" s="10" t="e">
        <f t="shared" si="26"/>
        <v>#N/A</v>
      </c>
      <c r="AB21" s="10" t="e">
        <f t="shared" si="26"/>
        <v>#N/A</v>
      </c>
      <c r="AC21" s="10" t="e">
        <f t="shared" si="26"/>
        <v>#N/A</v>
      </c>
      <c r="AD21" s="10" t="e">
        <f t="shared" si="26"/>
        <v>#N/A</v>
      </c>
      <c r="AE21" s="10" t="e">
        <f t="shared" si="26"/>
        <v>#N/A</v>
      </c>
      <c r="AG21" s="10" t="e">
        <f t="shared" si="18"/>
        <v>#N/A</v>
      </c>
      <c r="AH21" s="10" t="e">
        <f t="shared" si="16"/>
        <v>#N/A</v>
      </c>
      <c r="AI21" s="10" t="e">
        <f t="shared" si="16"/>
        <v>#N/A</v>
      </c>
      <c r="AJ21" s="10" t="e">
        <f t="shared" si="16"/>
        <v>#N/A</v>
      </c>
      <c r="AK21" s="10" t="e">
        <f t="shared" si="16"/>
        <v>#N/A</v>
      </c>
      <c r="AL21" s="10" t="e">
        <f t="shared" si="16"/>
        <v>#N/A</v>
      </c>
      <c r="AM21" s="10" t="e">
        <f t="shared" si="16"/>
        <v>#N/A</v>
      </c>
    </row>
    <row r="22" spans="1:39" x14ac:dyDescent="0.45">
      <c r="A22" s="40"/>
      <c r="B22"/>
      <c r="C22"/>
      <c r="D22"/>
      <c r="E22"/>
      <c r="F22"/>
      <c r="G22"/>
      <c r="H22"/>
      <c r="I22"/>
      <c r="J22"/>
      <c r="O22" s="40"/>
      <c r="P22"/>
      <c r="Q22"/>
      <c r="R22"/>
      <c r="S22"/>
      <c r="T22"/>
      <c r="U22"/>
      <c r="V22"/>
      <c r="W22" s="12">
        <v>4</v>
      </c>
      <c r="Y22" s="10" t="e">
        <f>RANK(P22,$P$22:$V$22)</f>
        <v>#N/A</v>
      </c>
      <c r="Z22" s="10" t="e">
        <f t="shared" ref="Z22:AE22" si="27">RANK(Q22,$P$22:$V$22)</f>
        <v>#N/A</v>
      </c>
      <c r="AA22" s="10" t="e">
        <f t="shared" si="27"/>
        <v>#N/A</v>
      </c>
      <c r="AB22" s="10" t="e">
        <f t="shared" si="27"/>
        <v>#N/A</v>
      </c>
      <c r="AC22" s="10" t="e">
        <f t="shared" si="27"/>
        <v>#N/A</v>
      </c>
      <c r="AD22" s="10" t="e">
        <f t="shared" si="27"/>
        <v>#N/A</v>
      </c>
      <c r="AE22" s="10" t="e">
        <f t="shared" si="27"/>
        <v>#N/A</v>
      </c>
      <c r="AG22" s="10" t="e">
        <f t="shared" si="18"/>
        <v>#N/A</v>
      </c>
      <c r="AH22" s="10" t="e">
        <f t="shared" si="16"/>
        <v>#N/A</v>
      </c>
      <c r="AI22" s="10" t="e">
        <f t="shared" si="16"/>
        <v>#N/A</v>
      </c>
      <c r="AJ22" s="10" t="e">
        <f t="shared" si="16"/>
        <v>#N/A</v>
      </c>
      <c r="AK22" s="10" t="e">
        <f t="shared" si="16"/>
        <v>#N/A</v>
      </c>
      <c r="AL22" s="10" t="e">
        <f t="shared" si="16"/>
        <v>#N/A</v>
      </c>
      <c r="AM22" s="10" t="e">
        <f t="shared" si="16"/>
        <v>#N/A</v>
      </c>
    </row>
    <row r="23" spans="1:39" x14ac:dyDescent="0.45">
      <c r="A23" s="40"/>
      <c r="B23"/>
      <c r="C23"/>
      <c r="D23"/>
      <c r="E23"/>
      <c r="F23"/>
      <c r="G23"/>
      <c r="H23"/>
      <c r="I23"/>
      <c r="J23"/>
      <c r="O23" s="40"/>
      <c r="P23"/>
      <c r="Q23"/>
      <c r="R23"/>
      <c r="S23"/>
      <c r="T23"/>
      <c r="U23"/>
      <c r="V23"/>
      <c r="W23" s="12">
        <v>5</v>
      </c>
      <c r="Y23" s="10" t="e">
        <f>RANK(P23,$P$23:$V$23)</f>
        <v>#N/A</v>
      </c>
      <c r="Z23" s="10" t="e">
        <f t="shared" ref="Z23:AE23" si="28">RANK(Q23,$P$23:$V$23)</f>
        <v>#N/A</v>
      </c>
      <c r="AA23" s="10" t="e">
        <f t="shared" si="28"/>
        <v>#N/A</v>
      </c>
      <c r="AB23" s="10" t="e">
        <f t="shared" si="28"/>
        <v>#N/A</v>
      </c>
      <c r="AC23" s="10" t="e">
        <f t="shared" si="28"/>
        <v>#N/A</v>
      </c>
      <c r="AD23" s="10" t="e">
        <f t="shared" si="28"/>
        <v>#N/A</v>
      </c>
      <c r="AE23" s="10" t="e">
        <f t="shared" si="28"/>
        <v>#N/A</v>
      </c>
      <c r="AG23" s="10" t="e">
        <f t="shared" si="18"/>
        <v>#N/A</v>
      </c>
      <c r="AH23" s="10" t="e">
        <f t="shared" si="16"/>
        <v>#N/A</v>
      </c>
      <c r="AI23" s="10" t="e">
        <f t="shared" si="16"/>
        <v>#N/A</v>
      </c>
      <c r="AJ23" s="10" t="e">
        <f t="shared" si="16"/>
        <v>#N/A</v>
      </c>
      <c r="AK23" s="10" t="e">
        <f t="shared" si="16"/>
        <v>#N/A</v>
      </c>
      <c r="AL23" s="10" t="e">
        <f t="shared" si="16"/>
        <v>#N/A</v>
      </c>
      <c r="AM23" s="10" t="e">
        <f t="shared" si="16"/>
        <v>#N/A</v>
      </c>
    </row>
    <row r="24" spans="1:39" x14ac:dyDescent="0.45">
      <c r="A24" s="40"/>
      <c r="B24"/>
      <c r="C24"/>
      <c r="D24"/>
      <c r="E24"/>
      <c r="F24"/>
      <c r="G24"/>
      <c r="H24"/>
      <c r="I24"/>
      <c r="J24"/>
      <c r="O24" s="40"/>
      <c r="P24"/>
      <c r="Q24"/>
      <c r="R24"/>
      <c r="S24"/>
      <c r="T24"/>
      <c r="U24"/>
      <c r="V24"/>
      <c r="W24" s="12">
        <v>6</v>
      </c>
      <c r="Y24" s="10" t="e">
        <f>RANK(P24,$P$24:$V$24)</f>
        <v>#N/A</v>
      </c>
      <c r="Z24" s="10" t="e">
        <f t="shared" ref="Z24:AE24" si="29">RANK(Q24,$P$24:$V$24)</f>
        <v>#N/A</v>
      </c>
      <c r="AA24" s="10" t="e">
        <f t="shared" si="29"/>
        <v>#N/A</v>
      </c>
      <c r="AB24" s="10" t="e">
        <f t="shared" si="29"/>
        <v>#N/A</v>
      </c>
      <c r="AC24" s="10" t="e">
        <f t="shared" si="29"/>
        <v>#N/A</v>
      </c>
      <c r="AD24" s="10" t="e">
        <f t="shared" si="29"/>
        <v>#N/A</v>
      </c>
      <c r="AE24" s="10" t="e">
        <f t="shared" si="29"/>
        <v>#N/A</v>
      </c>
      <c r="AG24" s="10" t="e">
        <f t="shared" si="18"/>
        <v>#N/A</v>
      </c>
      <c r="AH24" s="10" t="e">
        <f t="shared" si="16"/>
        <v>#N/A</v>
      </c>
      <c r="AI24" s="10" t="e">
        <f t="shared" si="16"/>
        <v>#N/A</v>
      </c>
      <c r="AJ24" s="10" t="e">
        <f t="shared" si="16"/>
        <v>#N/A</v>
      </c>
      <c r="AK24" s="10" t="e">
        <f t="shared" si="16"/>
        <v>#N/A</v>
      </c>
      <c r="AL24" s="10" t="e">
        <f t="shared" si="16"/>
        <v>#N/A</v>
      </c>
      <c r="AM24" s="10" t="e">
        <f t="shared" si="16"/>
        <v>#N/A</v>
      </c>
    </row>
    <row r="25" spans="1:39" x14ac:dyDescent="0.45">
      <c r="A25" s="40"/>
      <c r="B25"/>
      <c r="C25"/>
      <c r="D25"/>
      <c r="E25"/>
      <c r="F25"/>
      <c r="G25"/>
      <c r="H25"/>
      <c r="I25"/>
      <c r="J25"/>
      <c r="O25" s="40"/>
      <c r="P25"/>
      <c r="Q25"/>
      <c r="R25"/>
      <c r="S25"/>
      <c r="T25"/>
      <c r="U25"/>
      <c r="V25"/>
      <c r="W25" s="12">
        <v>7</v>
      </c>
      <c r="Y25" s="10" t="e">
        <f>RANK(P25,$P$25:$V$25)</f>
        <v>#N/A</v>
      </c>
      <c r="Z25" s="10" t="e">
        <f t="shared" ref="Z25:AE25" si="30">RANK(Q25,$P$25:$V$25)</f>
        <v>#N/A</v>
      </c>
      <c r="AA25" s="10" t="e">
        <f t="shared" si="30"/>
        <v>#N/A</v>
      </c>
      <c r="AB25" s="10" t="e">
        <f t="shared" si="30"/>
        <v>#N/A</v>
      </c>
      <c r="AC25" s="10" t="e">
        <f t="shared" si="30"/>
        <v>#N/A</v>
      </c>
      <c r="AD25" s="10" t="e">
        <f t="shared" si="30"/>
        <v>#N/A</v>
      </c>
      <c r="AE25" s="10" t="e">
        <f t="shared" si="30"/>
        <v>#N/A</v>
      </c>
      <c r="AG25" s="10" t="e">
        <f t="shared" si="18"/>
        <v>#N/A</v>
      </c>
      <c r="AH25" s="10" t="e">
        <f t="shared" si="16"/>
        <v>#N/A</v>
      </c>
      <c r="AI25" s="10" t="e">
        <f t="shared" si="16"/>
        <v>#N/A</v>
      </c>
      <c r="AJ25" s="10" t="e">
        <f t="shared" si="16"/>
        <v>#N/A</v>
      </c>
      <c r="AK25" s="10" t="e">
        <f t="shared" si="16"/>
        <v>#N/A</v>
      </c>
      <c r="AL25" s="10" t="e">
        <f t="shared" si="16"/>
        <v>#N/A</v>
      </c>
      <c r="AM25" s="10" t="e">
        <f t="shared" si="16"/>
        <v>#N/A</v>
      </c>
    </row>
    <row r="26" spans="1:39" x14ac:dyDescent="0.45">
      <c r="A26" s="40"/>
      <c r="B26"/>
      <c r="C26"/>
      <c r="D26"/>
      <c r="E26"/>
      <c r="F26"/>
      <c r="G26"/>
      <c r="H26"/>
      <c r="I26" s="15"/>
      <c r="O26" s="40"/>
      <c r="P26"/>
      <c r="Q26"/>
      <c r="R26"/>
      <c r="S26"/>
      <c r="T26"/>
      <c r="U26"/>
      <c r="V26"/>
      <c r="W26" s="12"/>
      <c r="Y26" s="10" t="e">
        <f>RANK(P26,$P$26:$V$26)</f>
        <v>#N/A</v>
      </c>
      <c r="Z26" s="10" t="e">
        <f t="shared" ref="Z26:AE26" si="31">RANK(Q26,$P$26:$V$26)</f>
        <v>#N/A</v>
      </c>
      <c r="AA26" s="10" t="e">
        <f t="shared" si="31"/>
        <v>#N/A</v>
      </c>
      <c r="AB26" s="10" t="e">
        <f t="shared" si="31"/>
        <v>#N/A</v>
      </c>
      <c r="AC26" s="10" t="e">
        <f t="shared" si="31"/>
        <v>#N/A</v>
      </c>
      <c r="AD26" s="10" t="e">
        <f t="shared" si="31"/>
        <v>#N/A</v>
      </c>
      <c r="AE26" s="10" t="e">
        <f t="shared" si="31"/>
        <v>#N/A</v>
      </c>
      <c r="AG26" s="10" t="e">
        <f t="shared" si="18"/>
        <v>#N/A</v>
      </c>
      <c r="AH26" s="10" t="e">
        <f t="shared" si="16"/>
        <v>#N/A</v>
      </c>
      <c r="AI26" s="10" t="e">
        <f t="shared" si="16"/>
        <v>#N/A</v>
      </c>
      <c r="AJ26" s="10" t="e">
        <f t="shared" si="16"/>
        <v>#N/A</v>
      </c>
      <c r="AK26" s="10" t="e">
        <f t="shared" si="16"/>
        <v>#N/A</v>
      </c>
      <c r="AL26" s="10" t="e">
        <f t="shared" si="16"/>
        <v>#N/A</v>
      </c>
      <c r="AM26" s="10" t="e">
        <f t="shared" si="16"/>
        <v>#N/A</v>
      </c>
    </row>
    <row r="27" spans="1:39" x14ac:dyDescent="0.45">
      <c r="A27" s="40"/>
      <c r="B27"/>
      <c r="C27"/>
      <c r="D27"/>
      <c r="E27"/>
      <c r="F27"/>
      <c r="G27"/>
      <c r="H27"/>
      <c r="I27" s="15"/>
      <c r="O27" s="40"/>
      <c r="P27"/>
      <c r="Q27"/>
      <c r="R27"/>
      <c r="S27"/>
      <c r="T27"/>
      <c r="U27"/>
      <c r="V27"/>
      <c r="W27" s="12"/>
      <c r="Y27" s="10" t="e">
        <f>RANK(P27,$P$27:$V$27)</f>
        <v>#N/A</v>
      </c>
      <c r="Z27" s="10" t="e">
        <f t="shared" ref="Z27:AE27" si="32">RANK(Q27,$P$27:$V$27)</f>
        <v>#N/A</v>
      </c>
      <c r="AA27" s="10" t="e">
        <f t="shared" si="32"/>
        <v>#N/A</v>
      </c>
      <c r="AB27" s="10" t="e">
        <f t="shared" si="32"/>
        <v>#N/A</v>
      </c>
      <c r="AC27" s="10" t="e">
        <f t="shared" si="32"/>
        <v>#N/A</v>
      </c>
      <c r="AD27" s="10" t="e">
        <f t="shared" si="32"/>
        <v>#N/A</v>
      </c>
      <c r="AE27" s="10" t="e">
        <f t="shared" si="32"/>
        <v>#N/A</v>
      </c>
      <c r="AG27" s="10" t="e">
        <f t="shared" si="18"/>
        <v>#N/A</v>
      </c>
      <c r="AH27" s="10" t="e">
        <f t="shared" si="16"/>
        <v>#N/A</v>
      </c>
      <c r="AI27" s="10" t="e">
        <f t="shared" si="16"/>
        <v>#N/A</v>
      </c>
      <c r="AJ27" s="10" t="e">
        <f t="shared" si="16"/>
        <v>#N/A</v>
      </c>
      <c r="AK27" s="10" t="e">
        <f t="shared" si="16"/>
        <v>#N/A</v>
      </c>
      <c r="AL27" s="10" t="e">
        <f t="shared" si="16"/>
        <v>#N/A</v>
      </c>
      <c r="AM27" s="10" t="e">
        <f t="shared" si="16"/>
        <v>#N/A</v>
      </c>
    </row>
    <row r="28" spans="1:39" x14ac:dyDescent="0.45">
      <c r="A28" s="40"/>
      <c r="B28"/>
      <c r="C28"/>
      <c r="D28"/>
      <c r="E28"/>
      <c r="F28"/>
      <c r="G28"/>
      <c r="H28"/>
      <c r="I28" s="15"/>
      <c r="O28" s="40"/>
      <c r="P28"/>
      <c r="Q28"/>
      <c r="R28"/>
      <c r="S28"/>
      <c r="T28"/>
      <c r="U28"/>
      <c r="V28"/>
      <c r="W28" s="12"/>
      <c r="Y28" s="10" t="e">
        <f>RANK(P28,$P$28:$V$28)</f>
        <v>#N/A</v>
      </c>
      <c r="Z28" s="10" t="e">
        <f t="shared" ref="Z28:AE28" si="33">RANK(Q28,$P$28:$V$28)</f>
        <v>#N/A</v>
      </c>
      <c r="AA28" s="10" t="e">
        <f t="shared" si="33"/>
        <v>#N/A</v>
      </c>
      <c r="AB28" s="10" t="e">
        <f t="shared" si="33"/>
        <v>#N/A</v>
      </c>
      <c r="AC28" s="10" t="e">
        <f t="shared" si="33"/>
        <v>#N/A</v>
      </c>
      <c r="AD28" s="10" t="e">
        <f t="shared" si="33"/>
        <v>#N/A</v>
      </c>
      <c r="AE28" s="10" t="e">
        <f t="shared" si="33"/>
        <v>#N/A</v>
      </c>
      <c r="AG28" s="10" t="e">
        <f t="shared" si="18"/>
        <v>#N/A</v>
      </c>
      <c r="AH28" s="10" t="e">
        <f t="shared" ref="AH28:AH31" si="34">IF(AND(Z28 = 1, C28&gt; 0), 1,0)</f>
        <v>#N/A</v>
      </c>
      <c r="AI28" s="10" t="e">
        <f t="shared" ref="AI28:AI31" si="35">IF(AND(AA28 = 1, D28&gt; 0), 1,0)</f>
        <v>#N/A</v>
      </c>
      <c r="AJ28" s="10" t="e">
        <f t="shared" ref="AJ28:AJ31" si="36">IF(AND(AB28 = 1, E28&gt; 0), 1,0)</f>
        <v>#N/A</v>
      </c>
      <c r="AK28" s="10" t="e">
        <f t="shared" ref="AK28:AK31" si="37">IF(AND(AC28 = 1, F28&gt; 0), 1,0)</f>
        <v>#N/A</v>
      </c>
      <c r="AL28" s="10" t="e">
        <f t="shared" ref="AL28:AL31" si="38">IF(AND(AD28 = 1, G28&gt; 0), 1,0)</f>
        <v>#N/A</v>
      </c>
      <c r="AM28" s="10" t="e">
        <f t="shared" ref="AM28:AM31" si="39">IF(AND(AE28 = 1, H28&gt; 0), 1,0)</f>
        <v>#N/A</v>
      </c>
    </row>
    <row r="29" spans="1:39" x14ac:dyDescent="0.45">
      <c r="A29" s="40"/>
      <c r="B29"/>
      <c r="C29"/>
      <c r="D29"/>
      <c r="E29"/>
      <c r="F29"/>
      <c r="G29"/>
      <c r="H29"/>
      <c r="I29" s="15"/>
      <c r="O29" s="40"/>
      <c r="P29"/>
      <c r="Q29"/>
      <c r="R29"/>
      <c r="S29"/>
      <c r="T29"/>
      <c r="U29"/>
      <c r="V29"/>
      <c r="W29" s="12"/>
      <c r="Y29" s="10" t="e">
        <f>RANK(P29,$P$29:$V$29)</f>
        <v>#N/A</v>
      </c>
      <c r="Z29" s="10" t="e">
        <f t="shared" ref="Z29:AE29" si="40">RANK(Q29,$P$29:$V$29)</f>
        <v>#N/A</v>
      </c>
      <c r="AA29" s="10" t="e">
        <f t="shared" si="40"/>
        <v>#N/A</v>
      </c>
      <c r="AB29" s="10" t="e">
        <f t="shared" si="40"/>
        <v>#N/A</v>
      </c>
      <c r="AC29" s="10" t="e">
        <f t="shared" si="40"/>
        <v>#N/A</v>
      </c>
      <c r="AD29" s="10" t="e">
        <f t="shared" si="40"/>
        <v>#N/A</v>
      </c>
      <c r="AE29" s="10" t="e">
        <f t="shared" si="40"/>
        <v>#N/A</v>
      </c>
      <c r="AG29" s="10" t="e">
        <f t="shared" si="18"/>
        <v>#N/A</v>
      </c>
      <c r="AH29" s="10" t="e">
        <f t="shared" si="34"/>
        <v>#N/A</v>
      </c>
      <c r="AI29" s="10" t="e">
        <f t="shared" si="35"/>
        <v>#N/A</v>
      </c>
      <c r="AJ29" s="10" t="e">
        <f t="shared" si="36"/>
        <v>#N/A</v>
      </c>
      <c r="AK29" s="10" t="e">
        <f t="shared" si="37"/>
        <v>#N/A</v>
      </c>
      <c r="AL29" s="10" t="e">
        <f t="shared" si="38"/>
        <v>#N/A</v>
      </c>
      <c r="AM29" s="10" t="e">
        <f t="shared" si="39"/>
        <v>#N/A</v>
      </c>
    </row>
    <row r="30" spans="1:39" x14ac:dyDescent="0.45">
      <c r="A30" s="40"/>
      <c r="B30"/>
      <c r="C30"/>
      <c r="D30"/>
      <c r="E30"/>
      <c r="F30"/>
      <c r="G30"/>
      <c r="H30"/>
      <c r="I30" s="15"/>
      <c r="O30" s="40"/>
      <c r="P30"/>
      <c r="Q30"/>
      <c r="R30"/>
      <c r="S30"/>
      <c r="T30"/>
      <c r="U30"/>
      <c r="V30"/>
      <c r="W30" s="12"/>
      <c r="Y30" s="10" t="e">
        <f>RANK(P30,$P$30:$V$30)</f>
        <v>#N/A</v>
      </c>
      <c r="Z30" s="10" t="e">
        <f t="shared" ref="Z30:AE30" si="41">RANK(Q30,$P$30:$V$30)</f>
        <v>#N/A</v>
      </c>
      <c r="AA30" s="10" t="e">
        <f t="shared" si="41"/>
        <v>#N/A</v>
      </c>
      <c r="AB30" s="10" t="e">
        <f t="shared" si="41"/>
        <v>#N/A</v>
      </c>
      <c r="AC30" s="10" t="e">
        <f t="shared" si="41"/>
        <v>#N/A</v>
      </c>
      <c r="AD30" s="10" t="e">
        <f t="shared" si="41"/>
        <v>#N/A</v>
      </c>
      <c r="AE30" s="10" t="e">
        <f t="shared" si="41"/>
        <v>#N/A</v>
      </c>
      <c r="AG30" s="10" t="e">
        <f t="shared" si="18"/>
        <v>#N/A</v>
      </c>
      <c r="AH30" s="10" t="e">
        <f t="shared" si="34"/>
        <v>#N/A</v>
      </c>
      <c r="AI30" s="10" t="e">
        <f t="shared" si="35"/>
        <v>#N/A</v>
      </c>
      <c r="AJ30" s="10" t="e">
        <f t="shared" si="36"/>
        <v>#N/A</v>
      </c>
      <c r="AK30" s="10" t="e">
        <f t="shared" si="37"/>
        <v>#N/A</v>
      </c>
      <c r="AL30" s="10" t="e">
        <f t="shared" si="38"/>
        <v>#N/A</v>
      </c>
      <c r="AM30" s="10" t="e">
        <f t="shared" si="39"/>
        <v>#N/A</v>
      </c>
    </row>
    <row r="31" spans="1:39" x14ac:dyDescent="0.45">
      <c r="A31" s="40"/>
      <c r="B31"/>
      <c r="C31"/>
      <c r="D31"/>
      <c r="E31"/>
      <c r="F31"/>
      <c r="G31"/>
      <c r="H31"/>
      <c r="I31" s="15"/>
      <c r="O31" s="40"/>
      <c r="P31"/>
      <c r="Q31"/>
      <c r="R31"/>
      <c r="S31"/>
      <c r="T31"/>
      <c r="U31"/>
      <c r="V31"/>
      <c r="W31" s="12"/>
      <c r="Y31" s="10" t="e">
        <f>RANK(P31,$P$31:$V$31)</f>
        <v>#N/A</v>
      </c>
      <c r="Z31" s="10" t="e">
        <f t="shared" ref="Z31:AE31" si="42">RANK(Q31,$P$31:$V$31)</f>
        <v>#N/A</v>
      </c>
      <c r="AA31" s="10" t="e">
        <f t="shared" si="42"/>
        <v>#N/A</v>
      </c>
      <c r="AB31" s="10" t="e">
        <f t="shared" si="42"/>
        <v>#N/A</v>
      </c>
      <c r="AC31" s="10" t="e">
        <f t="shared" si="42"/>
        <v>#N/A</v>
      </c>
      <c r="AD31" s="10" t="e">
        <f t="shared" si="42"/>
        <v>#N/A</v>
      </c>
      <c r="AE31" s="10" t="e">
        <f t="shared" si="42"/>
        <v>#N/A</v>
      </c>
      <c r="AG31" s="10" t="e">
        <f t="shared" si="18"/>
        <v>#N/A</v>
      </c>
      <c r="AH31" s="10" t="e">
        <f t="shared" si="34"/>
        <v>#N/A</v>
      </c>
      <c r="AI31" s="10" t="e">
        <f t="shared" si="35"/>
        <v>#N/A</v>
      </c>
      <c r="AJ31" s="10" t="e">
        <f t="shared" si="36"/>
        <v>#N/A</v>
      </c>
      <c r="AK31" s="10" t="e">
        <f t="shared" si="37"/>
        <v>#N/A</v>
      </c>
      <c r="AL31" s="10" t="e">
        <f t="shared" si="38"/>
        <v>#N/A</v>
      </c>
      <c r="AM31" s="10" t="e">
        <f t="shared" si="39"/>
        <v>#N/A</v>
      </c>
    </row>
    <row r="32" spans="1:39" x14ac:dyDescent="0.45">
      <c r="A32" s="40"/>
      <c r="B32"/>
      <c r="C32"/>
      <c r="D32"/>
      <c r="E32"/>
      <c r="F32"/>
      <c r="G32"/>
      <c r="H32"/>
      <c r="I32" s="15"/>
      <c r="O32" s="40"/>
      <c r="P32"/>
      <c r="Q32"/>
      <c r="R32"/>
      <c r="S32"/>
      <c r="T32"/>
      <c r="U32"/>
      <c r="V32"/>
      <c r="W32" s="12"/>
      <c r="Y32" s="10" t="e">
        <f>RANK(P32,$P$32:$V$32)</f>
        <v>#N/A</v>
      </c>
      <c r="Z32" s="10" t="e">
        <f t="shared" ref="Z32:AE32" si="43">RANK(Q32,$P$32:$V$32)</f>
        <v>#N/A</v>
      </c>
      <c r="AA32" s="10" t="e">
        <f t="shared" si="43"/>
        <v>#N/A</v>
      </c>
      <c r="AB32" s="10" t="e">
        <f t="shared" si="43"/>
        <v>#N/A</v>
      </c>
      <c r="AC32" s="10" t="e">
        <f t="shared" si="43"/>
        <v>#N/A</v>
      </c>
      <c r="AD32" s="10" t="e">
        <f t="shared" si="43"/>
        <v>#N/A</v>
      </c>
      <c r="AE32" s="10" t="e">
        <f t="shared" si="43"/>
        <v>#N/A</v>
      </c>
      <c r="AG32" s="10" t="e">
        <f t="shared" ref="AG32:AG45" si="44">IF(AND(Y32 = 1, B32&gt; 0), 1,0)</f>
        <v>#N/A</v>
      </c>
      <c r="AH32" s="10" t="e">
        <f t="shared" ref="AH32:AH45" si="45">IF(AND(Z32 = 1, C32&gt; 0), 1,0)</f>
        <v>#N/A</v>
      </c>
      <c r="AI32" s="10" t="e">
        <f t="shared" ref="AI32:AI45" si="46">IF(AND(AA32 = 1, D32&gt; 0), 1,0)</f>
        <v>#N/A</v>
      </c>
      <c r="AJ32" s="10" t="e">
        <f t="shared" ref="AJ32:AJ45" si="47">IF(AND(AB32 = 1, E32&gt; 0), 1,0)</f>
        <v>#N/A</v>
      </c>
      <c r="AK32" s="10" t="e">
        <f t="shared" ref="AK32:AK45" si="48">IF(AND(AC32 = 1, F32&gt; 0), 1,0)</f>
        <v>#N/A</v>
      </c>
      <c r="AL32" s="10" t="e">
        <f t="shared" ref="AL32:AL45" si="49">IF(AND(AD32 = 1, G32&gt; 0), 1,0)</f>
        <v>#N/A</v>
      </c>
      <c r="AM32" s="10" t="e">
        <f t="shared" ref="AM32:AM45" si="50">IF(AND(AE32 = 1, H32&gt; 0), 1,0)</f>
        <v>#N/A</v>
      </c>
    </row>
    <row r="33" spans="1:39" x14ac:dyDescent="0.45">
      <c r="A33" s="40"/>
      <c r="B33"/>
      <c r="C33"/>
      <c r="D33"/>
      <c r="E33"/>
      <c r="F33"/>
      <c r="G33"/>
      <c r="H33"/>
      <c r="I33" s="15"/>
      <c r="O33" s="40"/>
      <c r="P33"/>
      <c r="Q33"/>
      <c r="R33"/>
      <c r="S33"/>
      <c r="T33"/>
      <c r="U33"/>
      <c r="V33"/>
      <c r="W33" s="12"/>
      <c r="Y33" s="10" t="e">
        <f>RANK(P33,$P$33:$V$33)</f>
        <v>#N/A</v>
      </c>
      <c r="Z33" s="10" t="e">
        <f t="shared" ref="Z33:AE33" si="51">RANK(Q33,$P$33:$V$33)</f>
        <v>#N/A</v>
      </c>
      <c r="AA33" s="10" t="e">
        <f t="shared" si="51"/>
        <v>#N/A</v>
      </c>
      <c r="AB33" s="10" t="e">
        <f t="shared" si="51"/>
        <v>#N/A</v>
      </c>
      <c r="AC33" s="10" t="e">
        <f t="shared" si="51"/>
        <v>#N/A</v>
      </c>
      <c r="AD33" s="10" t="e">
        <f t="shared" si="51"/>
        <v>#N/A</v>
      </c>
      <c r="AE33" s="10" t="e">
        <f t="shared" si="51"/>
        <v>#N/A</v>
      </c>
      <c r="AG33" s="10" t="e">
        <f t="shared" si="44"/>
        <v>#N/A</v>
      </c>
      <c r="AH33" s="10" t="e">
        <f t="shared" si="45"/>
        <v>#N/A</v>
      </c>
      <c r="AI33" s="10" t="e">
        <f t="shared" si="46"/>
        <v>#N/A</v>
      </c>
      <c r="AJ33" s="10" t="e">
        <f t="shared" si="47"/>
        <v>#N/A</v>
      </c>
      <c r="AK33" s="10" t="e">
        <f t="shared" si="48"/>
        <v>#N/A</v>
      </c>
      <c r="AL33" s="10" t="e">
        <f t="shared" si="49"/>
        <v>#N/A</v>
      </c>
      <c r="AM33" s="10" t="e">
        <f t="shared" si="50"/>
        <v>#N/A</v>
      </c>
    </row>
    <row r="34" spans="1:39" x14ac:dyDescent="0.45">
      <c r="A34" s="40"/>
      <c r="B34"/>
      <c r="C34"/>
      <c r="D34"/>
      <c r="E34"/>
      <c r="F34"/>
      <c r="G34"/>
      <c r="H34"/>
      <c r="I34" s="15"/>
      <c r="O34" s="40"/>
      <c r="P34"/>
      <c r="Q34"/>
      <c r="R34"/>
      <c r="S34"/>
      <c r="T34"/>
      <c r="U34"/>
      <c r="V34"/>
      <c r="W34" s="12"/>
      <c r="Y34" s="10" t="e">
        <f>RANK(P34,$P$34:$V$34)</f>
        <v>#N/A</v>
      </c>
      <c r="Z34" s="10" t="e">
        <f t="shared" ref="Z34:AE34" si="52">RANK(Q34,$P$34:$V$34)</f>
        <v>#N/A</v>
      </c>
      <c r="AA34" s="10" t="e">
        <f t="shared" si="52"/>
        <v>#N/A</v>
      </c>
      <c r="AB34" s="10" t="e">
        <f t="shared" si="52"/>
        <v>#N/A</v>
      </c>
      <c r="AC34" s="10" t="e">
        <f t="shared" si="52"/>
        <v>#N/A</v>
      </c>
      <c r="AD34" s="10" t="e">
        <f t="shared" si="52"/>
        <v>#N/A</v>
      </c>
      <c r="AE34" s="10" t="e">
        <f t="shared" si="52"/>
        <v>#N/A</v>
      </c>
      <c r="AG34" s="10" t="e">
        <f t="shared" si="44"/>
        <v>#N/A</v>
      </c>
      <c r="AH34" s="10" t="e">
        <f t="shared" si="45"/>
        <v>#N/A</v>
      </c>
      <c r="AI34" s="10" t="e">
        <f t="shared" si="46"/>
        <v>#N/A</v>
      </c>
      <c r="AJ34" s="10" t="e">
        <f t="shared" si="47"/>
        <v>#N/A</v>
      </c>
      <c r="AK34" s="10" t="e">
        <f t="shared" si="48"/>
        <v>#N/A</v>
      </c>
      <c r="AL34" s="10" t="e">
        <f t="shared" si="49"/>
        <v>#N/A</v>
      </c>
      <c r="AM34" s="10" t="e">
        <f t="shared" si="50"/>
        <v>#N/A</v>
      </c>
    </row>
    <row r="35" spans="1:39" x14ac:dyDescent="0.45">
      <c r="A35" s="40"/>
      <c r="B35"/>
      <c r="C35"/>
      <c r="D35"/>
      <c r="E35"/>
      <c r="F35"/>
      <c r="G35"/>
      <c r="H35"/>
      <c r="I35" s="15"/>
      <c r="O35" s="40"/>
      <c r="P35"/>
      <c r="Q35"/>
      <c r="R35"/>
      <c r="S35"/>
      <c r="T35"/>
      <c r="U35"/>
      <c r="V35"/>
      <c r="W35" s="12"/>
      <c r="Y35" s="10" t="e">
        <f>RANK(P35,$P$35:$V$35)</f>
        <v>#N/A</v>
      </c>
      <c r="Z35" s="10" t="e">
        <f t="shared" ref="Z35:AE35" si="53">RANK(Q35,$P$35:$V$35)</f>
        <v>#N/A</v>
      </c>
      <c r="AA35" s="10" t="e">
        <f t="shared" si="53"/>
        <v>#N/A</v>
      </c>
      <c r="AB35" s="10" t="e">
        <f t="shared" si="53"/>
        <v>#N/A</v>
      </c>
      <c r="AC35" s="10" t="e">
        <f t="shared" si="53"/>
        <v>#N/A</v>
      </c>
      <c r="AD35" s="10" t="e">
        <f t="shared" si="53"/>
        <v>#N/A</v>
      </c>
      <c r="AE35" s="10" t="e">
        <f t="shared" si="53"/>
        <v>#N/A</v>
      </c>
      <c r="AG35" s="10" t="e">
        <f t="shared" si="44"/>
        <v>#N/A</v>
      </c>
      <c r="AH35" s="10" t="e">
        <f t="shared" si="45"/>
        <v>#N/A</v>
      </c>
      <c r="AI35" s="10" t="e">
        <f t="shared" si="46"/>
        <v>#N/A</v>
      </c>
      <c r="AJ35" s="10" t="e">
        <f t="shared" si="47"/>
        <v>#N/A</v>
      </c>
      <c r="AK35" s="10" t="e">
        <f t="shared" si="48"/>
        <v>#N/A</v>
      </c>
      <c r="AL35" s="10" t="e">
        <f t="shared" si="49"/>
        <v>#N/A</v>
      </c>
      <c r="AM35" s="10" t="e">
        <f t="shared" si="50"/>
        <v>#N/A</v>
      </c>
    </row>
    <row r="36" spans="1:39" x14ac:dyDescent="0.45">
      <c r="A36" s="40"/>
      <c r="B36"/>
      <c r="C36"/>
      <c r="D36"/>
      <c r="E36"/>
      <c r="F36"/>
      <c r="G36"/>
      <c r="H36"/>
      <c r="I36" s="15"/>
      <c r="O36" s="40"/>
      <c r="P36"/>
      <c r="Q36"/>
      <c r="R36"/>
      <c r="S36"/>
      <c r="T36"/>
      <c r="U36"/>
      <c r="V36"/>
      <c r="W36" s="12"/>
      <c r="Y36" s="10" t="e">
        <f>RANK(P36,$P$36:$V$36)</f>
        <v>#N/A</v>
      </c>
      <c r="Z36" s="10" t="e">
        <f t="shared" ref="Z36:AE36" si="54">RANK(Q36,$P$36:$V$36)</f>
        <v>#N/A</v>
      </c>
      <c r="AA36" s="10" t="e">
        <f t="shared" si="54"/>
        <v>#N/A</v>
      </c>
      <c r="AB36" s="10" t="e">
        <f t="shared" si="54"/>
        <v>#N/A</v>
      </c>
      <c r="AC36" s="10" t="e">
        <f t="shared" si="54"/>
        <v>#N/A</v>
      </c>
      <c r="AD36" s="10" t="e">
        <f t="shared" si="54"/>
        <v>#N/A</v>
      </c>
      <c r="AE36" s="10" t="e">
        <f t="shared" si="54"/>
        <v>#N/A</v>
      </c>
      <c r="AG36" s="10" t="e">
        <f t="shared" si="44"/>
        <v>#N/A</v>
      </c>
      <c r="AH36" s="10" t="e">
        <f t="shared" si="45"/>
        <v>#N/A</v>
      </c>
      <c r="AI36" s="10" t="e">
        <f t="shared" si="46"/>
        <v>#N/A</v>
      </c>
      <c r="AJ36" s="10" t="e">
        <f t="shared" si="47"/>
        <v>#N/A</v>
      </c>
      <c r="AK36" s="10" t="e">
        <f t="shared" si="48"/>
        <v>#N/A</v>
      </c>
      <c r="AL36" s="10" t="e">
        <f t="shared" si="49"/>
        <v>#N/A</v>
      </c>
      <c r="AM36" s="10" t="e">
        <f t="shared" si="50"/>
        <v>#N/A</v>
      </c>
    </row>
    <row r="37" spans="1:39" ht="30" customHeight="1" x14ac:dyDescent="0.45">
      <c r="A37" s="40"/>
      <c r="B37"/>
      <c r="C37"/>
      <c r="D37"/>
      <c r="E37"/>
      <c r="F37"/>
      <c r="G37"/>
      <c r="H37"/>
      <c r="I37" s="15"/>
      <c r="O37" s="40"/>
      <c r="P37"/>
      <c r="Q37"/>
      <c r="R37"/>
      <c r="S37"/>
      <c r="T37"/>
      <c r="U37"/>
      <c r="V37"/>
      <c r="W37" s="12"/>
      <c r="Y37" s="10" t="e">
        <f>RANK(P37,$P$37:$V$37)</f>
        <v>#N/A</v>
      </c>
      <c r="Z37" s="10" t="e">
        <f t="shared" ref="Z37:AE37" si="55">RANK(Q37,$P$37:$V$37)</f>
        <v>#N/A</v>
      </c>
      <c r="AA37" s="10" t="e">
        <f t="shared" si="55"/>
        <v>#N/A</v>
      </c>
      <c r="AB37" s="10" t="e">
        <f t="shared" si="55"/>
        <v>#N/A</v>
      </c>
      <c r="AC37" s="10" t="e">
        <f t="shared" si="55"/>
        <v>#N/A</v>
      </c>
      <c r="AD37" s="10" t="e">
        <f t="shared" si="55"/>
        <v>#N/A</v>
      </c>
      <c r="AE37" s="10" t="e">
        <f t="shared" si="55"/>
        <v>#N/A</v>
      </c>
      <c r="AG37" s="10" t="e">
        <f t="shared" si="44"/>
        <v>#N/A</v>
      </c>
      <c r="AH37" s="10" t="e">
        <f t="shared" si="45"/>
        <v>#N/A</v>
      </c>
      <c r="AI37" s="10" t="e">
        <f t="shared" si="46"/>
        <v>#N/A</v>
      </c>
      <c r="AJ37" s="10" t="e">
        <f t="shared" si="47"/>
        <v>#N/A</v>
      </c>
      <c r="AK37" s="10" t="e">
        <f t="shared" si="48"/>
        <v>#N/A</v>
      </c>
      <c r="AL37" s="10" t="e">
        <f t="shared" si="49"/>
        <v>#N/A</v>
      </c>
      <c r="AM37" s="10" t="e">
        <f t="shared" si="50"/>
        <v>#N/A</v>
      </c>
    </row>
    <row r="38" spans="1:39" x14ac:dyDescent="0.45">
      <c r="A38" s="40"/>
      <c r="B38"/>
      <c r="C38"/>
      <c r="D38"/>
      <c r="E38"/>
      <c r="F38"/>
      <c r="G38"/>
      <c r="H38"/>
      <c r="I38" s="15"/>
      <c r="O38" s="40"/>
      <c r="P38"/>
      <c r="Q38"/>
      <c r="R38"/>
      <c r="S38"/>
      <c r="T38"/>
      <c r="U38"/>
      <c r="V38"/>
      <c r="W38" s="12"/>
      <c r="Y38" s="10" t="e">
        <f>RANK(P38,$P$38:$V$38)</f>
        <v>#N/A</v>
      </c>
      <c r="Z38" s="10" t="e">
        <f t="shared" ref="Z38:AE38" si="56">RANK(Q38,$P$38:$V$38)</f>
        <v>#N/A</v>
      </c>
      <c r="AA38" s="10" t="e">
        <f t="shared" si="56"/>
        <v>#N/A</v>
      </c>
      <c r="AB38" s="10" t="e">
        <f t="shared" si="56"/>
        <v>#N/A</v>
      </c>
      <c r="AC38" s="10" t="e">
        <f t="shared" si="56"/>
        <v>#N/A</v>
      </c>
      <c r="AD38" s="10" t="e">
        <f t="shared" si="56"/>
        <v>#N/A</v>
      </c>
      <c r="AE38" s="10" t="e">
        <f t="shared" si="56"/>
        <v>#N/A</v>
      </c>
      <c r="AG38" s="10" t="e">
        <f t="shared" si="44"/>
        <v>#N/A</v>
      </c>
      <c r="AH38" s="10" t="e">
        <f t="shared" si="45"/>
        <v>#N/A</v>
      </c>
      <c r="AI38" s="10" t="e">
        <f t="shared" si="46"/>
        <v>#N/A</v>
      </c>
      <c r="AJ38" s="10" t="e">
        <f t="shared" si="47"/>
        <v>#N/A</v>
      </c>
      <c r="AK38" s="10" t="e">
        <f t="shared" si="48"/>
        <v>#N/A</v>
      </c>
      <c r="AL38" s="10" t="e">
        <f t="shared" si="49"/>
        <v>#N/A</v>
      </c>
      <c r="AM38" s="10" t="e">
        <f t="shared" si="50"/>
        <v>#N/A</v>
      </c>
    </row>
    <row r="39" spans="1:39" ht="23.4" hidden="1" customHeight="1" outlineLevel="1" x14ac:dyDescent="0.45">
      <c r="A39" s="40"/>
      <c r="B39"/>
      <c r="C39"/>
      <c r="D39"/>
      <c r="E39"/>
      <c r="F39"/>
      <c r="G39"/>
      <c r="H39"/>
      <c r="I39" s="15"/>
      <c r="O39" s="40"/>
      <c r="P39"/>
      <c r="Q39"/>
      <c r="R39"/>
      <c r="S39"/>
      <c r="T39"/>
      <c r="U39"/>
      <c r="V39"/>
      <c r="W39" s="12"/>
      <c r="Y39" s="10" t="e">
        <f>RANK(P39,$P$39:$V$39)</f>
        <v>#N/A</v>
      </c>
      <c r="Z39" s="10" t="e">
        <f t="shared" ref="Z39:AE39" si="57">RANK(Q39,$P$39:$V$39)</f>
        <v>#N/A</v>
      </c>
      <c r="AA39" s="10" t="e">
        <f t="shared" si="57"/>
        <v>#N/A</v>
      </c>
      <c r="AB39" s="10" t="e">
        <f t="shared" si="57"/>
        <v>#N/A</v>
      </c>
      <c r="AC39" s="10" t="e">
        <f t="shared" si="57"/>
        <v>#N/A</v>
      </c>
      <c r="AD39" s="10" t="e">
        <f t="shared" si="57"/>
        <v>#N/A</v>
      </c>
      <c r="AE39" s="10" t="e">
        <f t="shared" si="57"/>
        <v>#N/A</v>
      </c>
      <c r="AG39" s="10" t="e">
        <f t="shared" si="44"/>
        <v>#N/A</v>
      </c>
      <c r="AH39" s="10" t="e">
        <f t="shared" si="45"/>
        <v>#N/A</v>
      </c>
      <c r="AI39" s="10" t="e">
        <f t="shared" si="46"/>
        <v>#N/A</v>
      </c>
      <c r="AJ39" s="10" t="e">
        <f t="shared" si="47"/>
        <v>#N/A</v>
      </c>
      <c r="AK39" s="10" t="e">
        <f t="shared" si="48"/>
        <v>#N/A</v>
      </c>
      <c r="AL39" s="10" t="e">
        <f t="shared" si="49"/>
        <v>#N/A</v>
      </c>
      <c r="AM39" s="10" t="e">
        <f t="shared" si="50"/>
        <v>#N/A</v>
      </c>
    </row>
    <row r="40" spans="1:39" ht="23.4" hidden="1" customHeight="1" outlineLevel="1" x14ac:dyDescent="0.45">
      <c r="A40" s="40"/>
      <c r="B40"/>
      <c r="C40"/>
      <c r="D40"/>
      <c r="E40"/>
      <c r="F40"/>
      <c r="G40"/>
      <c r="H40"/>
      <c r="I40" s="15"/>
      <c r="O40" s="40"/>
      <c r="P40"/>
      <c r="Q40"/>
      <c r="R40"/>
      <c r="S40"/>
      <c r="T40"/>
      <c r="U40"/>
      <c r="V40"/>
      <c r="W40" s="12"/>
      <c r="Y40" s="10" t="e">
        <f>RANK(P40,$P$40:$V$40)</f>
        <v>#N/A</v>
      </c>
      <c r="Z40" s="10" t="e">
        <f t="shared" ref="Z40:AE40" si="58">RANK(Q40,$P$40:$V$40)</f>
        <v>#N/A</v>
      </c>
      <c r="AA40" s="10" t="e">
        <f t="shared" si="58"/>
        <v>#N/A</v>
      </c>
      <c r="AB40" s="10" t="e">
        <f t="shared" si="58"/>
        <v>#N/A</v>
      </c>
      <c r="AC40" s="10" t="e">
        <f t="shared" si="58"/>
        <v>#N/A</v>
      </c>
      <c r="AD40" s="10" t="e">
        <f t="shared" si="58"/>
        <v>#N/A</v>
      </c>
      <c r="AE40" s="10" t="e">
        <f t="shared" si="58"/>
        <v>#N/A</v>
      </c>
      <c r="AG40" s="10" t="e">
        <f t="shared" si="44"/>
        <v>#N/A</v>
      </c>
      <c r="AH40" s="10" t="e">
        <f t="shared" si="45"/>
        <v>#N/A</v>
      </c>
      <c r="AI40" s="10" t="e">
        <f t="shared" si="46"/>
        <v>#N/A</v>
      </c>
      <c r="AJ40" s="10" t="e">
        <f t="shared" si="47"/>
        <v>#N/A</v>
      </c>
      <c r="AK40" s="10" t="e">
        <f t="shared" si="48"/>
        <v>#N/A</v>
      </c>
      <c r="AL40" s="10" t="e">
        <f t="shared" si="49"/>
        <v>#N/A</v>
      </c>
      <c r="AM40" s="10" t="e">
        <f t="shared" si="50"/>
        <v>#N/A</v>
      </c>
    </row>
    <row r="41" spans="1:39" ht="23.4" hidden="1" customHeight="1" outlineLevel="1" x14ac:dyDescent="0.45">
      <c r="A41" s="40"/>
      <c r="B41"/>
      <c r="C41"/>
      <c r="D41"/>
      <c r="E41"/>
      <c r="F41"/>
      <c r="G41"/>
      <c r="H41"/>
      <c r="I41" s="15"/>
      <c r="O41" s="40"/>
      <c r="P41"/>
      <c r="Q41"/>
      <c r="R41"/>
      <c r="S41"/>
      <c r="T41"/>
      <c r="U41"/>
      <c r="V41"/>
      <c r="W41" s="12"/>
      <c r="Y41" s="10" t="e">
        <f>RANK(P41,$P$41:$V$41)</f>
        <v>#N/A</v>
      </c>
      <c r="Z41" s="10" t="e">
        <f t="shared" ref="Z41:AE41" si="59">RANK(Q41,$P$41:$V$41)</f>
        <v>#N/A</v>
      </c>
      <c r="AA41" s="10" t="e">
        <f t="shared" si="59"/>
        <v>#N/A</v>
      </c>
      <c r="AB41" s="10" t="e">
        <f t="shared" si="59"/>
        <v>#N/A</v>
      </c>
      <c r="AC41" s="10" t="e">
        <f t="shared" si="59"/>
        <v>#N/A</v>
      </c>
      <c r="AD41" s="10" t="e">
        <f t="shared" si="59"/>
        <v>#N/A</v>
      </c>
      <c r="AE41" s="10" t="e">
        <f t="shared" si="59"/>
        <v>#N/A</v>
      </c>
      <c r="AG41" s="10" t="e">
        <f t="shared" si="44"/>
        <v>#N/A</v>
      </c>
      <c r="AH41" s="10" t="e">
        <f t="shared" si="45"/>
        <v>#N/A</v>
      </c>
      <c r="AI41" s="10" t="e">
        <f t="shared" si="46"/>
        <v>#N/A</v>
      </c>
      <c r="AJ41" s="10" t="e">
        <f t="shared" si="47"/>
        <v>#N/A</v>
      </c>
      <c r="AK41" s="10" t="e">
        <f t="shared" si="48"/>
        <v>#N/A</v>
      </c>
      <c r="AL41" s="10" t="e">
        <f t="shared" si="49"/>
        <v>#N/A</v>
      </c>
      <c r="AM41" s="10" t="e">
        <f t="shared" si="50"/>
        <v>#N/A</v>
      </c>
    </row>
    <row r="42" spans="1:39" collapsed="1" x14ac:dyDescent="0.45">
      <c r="A42" s="40"/>
      <c r="B42"/>
      <c r="C42"/>
      <c r="D42"/>
      <c r="E42"/>
      <c r="F42"/>
      <c r="G42"/>
      <c r="H42"/>
      <c r="I42" s="15"/>
      <c r="O42" s="40"/>
      <c r="P42"/>
      <c r="Q42"/>
      <c r="R42"/>
      <c r="S42"/>
      <c r="T42"/>
      <c r="U42"/>
      <c r="V42"/>
      <c r="W42" s="12"/>
      <c r="Y42" s="10" t="e">
        <f>RANK(P42,$P$42:$V$42)</f>
        <v>#N/A</v>
      </c>
      <c r="Z42" s="10" t="e">
        <f t="shared" ref="Z42:AE42" si="60">RANK(Q42,$P$42:$V$42)</f>
        <v>#N/A</v>
      </c>
      <c r="AA42" s="10" t="e">
        <f t="shared" si="60"/>
        <v>#N/A</v>
      </c>
      <c r="AB42" s="10" t="e">
        <f t="shared" si="60"/>
        <v>#N/A</v>
      </c>
      <c r="AC42" s="10" t="e">
        <f t="shared" si="60"/>
        <v>#N/A</v>
      </c>
      <c r="AD42" s="10" t="e">
        <f t="shared" si="60"/>
        <v>#N/A</v>
      </c>
      <c r="AE42" s="10" t="e">
        <f t="shared" si="60"/>
        <v>#N/A</v>
      </c>
      <c r="AG42" s="10" t="e">
        <f t="shared" si="44"/>
        <v>#N/A</v>
      </c>
      <c r="AH42" s="10" t="e">
        <f t="shared" si="45"/>
        <v>#N/A</v>
      </c>
      <c r="AI42" s="10" t="e">
        <f t="shared" si="46"/>
        <v>#N/A</v>
      </c>
      <c r="AJ42" s="10" t="e">
        <f t="shared" si="47"/>
        <v>#N/A</v>
      </c>
      <c r="AK42" s="10" t="e">
        <f t="shared" si="48"/>
        <v>#N/A</v>
      </c>
      <c r="AL42" s="10" t="e">
        <f t="shared" si="49"/>
        <v>#N/A</v>
      </c>
      <c r="AM42" s="10" t="e">
        <f t="shared" si="50"/>
        <v>#N/A</v>
      </c>
    </row>
    <row r="43" spans="1:39" x14ac:dyDescent="0.45">
      <c r="A43" s="40"/>
      <c r="B43"/>
      <c r="C43"/>
      <c r="D43"/>
      <c r="E43"/>
      <c r="F43"/>
      <c r="G43"/>
      <c r="H43"/>
      <c r="I43" s="15"/>
      <c r="O43" s="40"/>
      <c r="P43"/>
      <c r="Q43"/>
      <c r="R43"/>
      <c r="S43"/>
      <c r="T43"/>
      <c r="U43"/>
      <c r="V43"/>
      <c r="W43" s="12"/>
      <c r="Y43" s="10" t="e">
        <f>RANK(P43,$P$43:$V$43)</f>
        <v>#N/A</v>
      </c>
      <c r="Z43" s="10" t="e">
        <f t="shared" ref="Z43:AE43" si="61">RANK(Q43,$P$43:$V$43)</f>
        <v>#N/A</v>
      </c>
      <c r="AA43" s="10" t="e">
        <f t="shared" si="61"/>
        <v>#N/A</v>
      </c>
      <c r="AB43" s="10" t="e">
        <f t="shared" si="61"/>
        <v>#N/A</v>
      </c>
      <c r="AC43" s="10" t="e">
        <f t="shared" si="61"/>
        <v>#N/A</v>
      </c>
      <c r="AD43" s="10" t="e">
        <f t="shared" si="61"/>
        <v>#N/A</v>
      </c>
      <c r="AE43" s="10" t="e">
        <f t="shared" si="61"/>
        <v>#N/A</v>
      </c>
      <c r="AG43" s="10" t="e">
        <f t="shared" si="44"/>
        <v>#N/A</v>
      </c>
      <c r="AH43" s="10" t="e">
        <f t="shared" si="45"/>
        <v>#N/A</v>
      </c>
      <c r="AI43" s="10" t="e">
        <f t="shared" si="46"/>
        <v>#N/A</v>
      </c>
      <c r="AJ43" s="10" t="e">
        <f t="shared" si="47"/>
        <v>#N/A</v>
      </c>
      <c r="AK43" s="10" t="e">
        <f t="shared" si="48"/>
        <v>#N/A</v>
      </c>
      <c r="AL43" s="10" t="e">
        <f t="shared" si="49"/>
        <v>#N/A</v>
      </c>
      <c r="AM43" s="10" t="e">
        <f t="shared" si="50"/>
        <v>#N/A</v>
      </c>
    </row>
    <row r="44" spans="1:39" x14ac:dyDescent="0.45">
      <c r="A44" s="40"/>
      <c r="B44"/>
      <c r="C44"/>
      <c r="D44"/>
      <c r="E44"/>
      <c r="F44"/>
      <c r="G44"/>
      <c r="H44"/>
      <c r="I44" s="15"/>
      <c r="O44" s="40"/>
      <c r="P44"/>
      <c r="Q44"/>
      <c r="R44"/>
      <c r="S44"/>
      <c r="T44"/>
      <c r="U44"/>
      <c r="V44"/>
      <c r="W44" s="12"/>
      <c r="Y44" s="10" t="e">
        <f>RANK(P44,$P$44:$V$44)</f>
        <v>#N/A</v>
      </c>
      <c r="Z44" s="10" t="e">
        <f t="shared" ref="Z44:AE44" si="62">RANK(Q44,$P$44:$V$44)</f>
        <v>#N/A</v>
      </c>
      <c r="AA44" s="10" t="e">
        <f t="shared" si="62"/>
        <v>#N/A</v>
      </c>
      <c r="AB44" s="10" t="e">
        <f t="shared" si="62"/>
        <v>#N/A</v>
      </c>
      <c r="AC44" s="10" t="e">
        <f t="shared" si="62"/>
        <v>#N/A</v>
      </c>
      <c r="AD44" s="10" t="e">
        <f t="shared" si="62"/>
        <v>#N/A</v>
      </c>
      <c r="AE44" s="10" t="e">
        <f t="shared" si="62"/>
        <v>#N/A</v>
      </c>
      <c r="AG44" s="10" t="e">
        <f t="shared" si="44"/>
        <v>#N/A</v>
      </c>
      <c r="AH44" s="10" t="e">
        <f t="shared" si="45"/>
        <v>#N/A</v>
      </c>
      <c r="AI44" s="10" t="e">
        <f t="shared" si="46"/>
        <v>#N/A</v>
      </c>
      <c r="AJ44" s="10" t="e">
        <f t="shared" si="47"/>
        <v>#N/A</v>
      </c>
      <c r="AK44" s="10" t="e">
        <f t="shared" si="48"/>
        <v>#N/A</v>
      </c>
      <c r="AL44" s="10" t="e">
        <f t="shared" si="49"/>
        <v>#N/A</v>
      </c>
      <c r="AM44" s="10" t="e">
        <f t="shared" si="50"/>
        <v>#N/A</v>
      </c>
    </row>
    <row r="45" spans="1:39" x14ac:dyDescent="0.45">
      <c r="A45" s="40"/>
      <c r="B45"/>
      <c r="C45"/>
      <c r="D45"/>
      <c r="E45"/>
      <c r="F45"/>
      <c r="G45"/>
      <c r="H45"/>
      <c r="I45" s="15"/>
      <c r="O45" s="40"/>
      <c r="P45"/>
      <c r="Q45"/>
      <c r="R45"/>
      <c r="S45"/>
      <c r="T45"/>
      <c r="U45"/>
      <c r="V45"/>
      <c r="W45" s="12"/>
      <c r="Y45" s="10" t="e">
        <f>RANK(P45,$P$45:$V$45)</f>
        <v>#N/A</v>
      </c>
      <c r="Z45" s="10" t="e">
        <f t="shared" ref="Z45:AE45" si="63">RANK(Q45,$P$45:$V$45)</f>
        <v>#N/A</v>
      </c>
      <c r="AA45" s="10" t="e">
        <f t="shared" si="63"/>
        <v>#N/A</v>
      </c>
      <c r="AB45" s="10" t="e">
        <f t="shared" si="63"/>
        <v>#N/A</v>
      </c>
      <c r="AC45" s="10" t="e">
        <f t="shared" si="63"/>
        <v>#N/A</v>
      </c>
      <c r="AD45" s="10" t="e">
        <f t="shared" si="63"/>
        <v>#N/A</v>
      </c>
      <c r="AE45" s="10" t="e">
        <f t="shared" si="63"/>
        <v>#N/A</v>
      </c>
      <c r="AG45" s="10" t="e">
        <f t="shared" si="44"/>
        <v>#N/A</v>
      </c>
      <c r="AH45" s="10" t="e">
        <f t="shared" si="45"/>
        <v>#N/A</v>
      </c>
      <c r="AI45" s="10" t="e">
        <f t="shared" si="46"/>
        <v>#N/A</v>
      </c>
      <c r="AJ45" s="10" t="e">
        <f t="shared" si="47"/>
        <v>#N/A</v>
      </c>
      <c r="AK45" s="10" t="e">
        <f t="shared" si="48"/>
        <v>#N/A</v>
      </c>
      <c r="AL45" s="10" t="e">
        <f t="shared" si="49"/>
        <v>#N/A</v>
      </c>
      <c r="AM45" s="10" t="e">
        <f t="shared" si="50"/>
        <v>#N/A</v>
      </c>
    </row>
    <row r="46" spans="1:39" ht="14.4" x14ac:dyDescent="0.3">
      <c r="B46"/>
      <c r="C46"/>
      <c r="D46"/>
      <c r="E46"/>
      <c r="F46"/>
      <c r="G46"/>
      <c r="H46"/>
      <c r="I46" s="10"/>
      <c r="P46"/>
      <c r="Q46"/>
      <c r="R46"/>
      <c r="S46"/>
      <c r="T46"/>
      <c r="U46"/>
      <c r="V46"/>
    </row>
    <row r="47" spans="1:39" ht="14.4" x14ac:dyDescent="0.3">
      <c r="B47"/>
      <c r="C47"/>
      <c r="D47"/>
      <c r="E47"/>
      <c r="F47"/>
      <c r="G47"/>
      <c r="H47"/>
      <c r="I47" s="10"/>
      <c r="P47"/>
      <c r="Q47"/>
      <c r="R47"/>
      <c r="S47"/>
      <c r="T47"/>
      <c r="U47"/>
      <c r="V47"/>
    </row>
    <row r="48" spans="1:39" ht="14.4" x14ac:dyDescent="0.3">
      <c r="B48"/>
      <c r="C48"/>
      <c r="D48"/>
      <c r="E48"/>
      <c r="F48"/>
      <c r="G48"/>
      <c r="H48"/>
      <c r="I48" s="10"/>
      <c r="P48"/>
      <c r="Q48"/>
      <c r="R48"/>
      <c r="S48"/>
      <c r="T48"/>
      <c r="U48"/>
      <c r="V48"/>
    </row>
    <row r="49" spans="2:22" x14ac:dyDescent="0.45">
      <c r="B49"/>
      <c r="C49"/>
      <c r="D49"/>
      <c r="E49"/>
      <c r="F49"/>
      <c r="G49"/>
      <c r="H49"/>
      <c r="P49"/>
      <c r="Q49"/>
      <c r="R49"/>
      <c r="S49"/>
      <c r="T49"/>
      <c r="U49"/>
      <c r="V49"/>
    </row>
    <row r="50" spans="2:22" x14ac:dyDescent="0.45">
      <c r="B50"/>
      <c r="C50"/>
      <c r="D50"/>
      <c r="E50"/>
      <c r="F50"/>
      <c r="G50"/>
      <c r="H50"/>
      <c r="P50"/>
      <c r="Q50"/>
      <c r="R50"/>
      <c r="S50"/>
      <c r="T50"/>
      <c r="U50"/>
      <c r="V50"/>
    </row>
    <row r="51" spans="2:22" x14ac:dyDescent="0.45">
      <c r="B51"/>
      <c r="C51"/>
      <c r="D51"/>
      <c r="E51"/>
      <c r="F51"/>
      <c r="G51"/>
      <c r="H51"/>
      <c r="P51"/>
      <c r="Q51"/>
      <c r="R51"/>
      <c r="S51"/>
      <c r="T51"/>
      <c r="U51"/>
      <c r="V51"/>
    </row>
    <row r="52" spans="2:22" x14ac:dyDescent="0.45">
      <c r="B52"/>
      <c r="C52"/>
      <c r="D52"/>
      <c r="E52"/>
      <c r="F52"/>
      <c r="G52"/>
      <c r="H52"/>
      <c r="P52"/>
      <c r="Q52"/>
      <c r="R52"/>
      <c r="S52"/>
      <c r="T52"/>
      <c r="U52"/>
      <c r="V52"/>
    </row>
    <row r="53" spans="2:22" x14ac:dyDescent="0.45">
      <c r="B53"/>
      <c r="C53"/>
      <c r="D53"/>
      <c r="E53"/>
      <c r="F53"/>
      <c r="G53"/>
      <c r="H53"/>
      <c r="P53"/>
      <c r="Q53"/>
      <c r="R53"/>
      <c r="S53"/>
      <c r="T53"/>
      <c r="U53"/>
      <c r="V53"/>
    </row>
    <row r="54" spans="2:22" x14ac:dyDescent="0.45">
      <c r="B54"/>
      <c r="C54"/>
      <c r="D54"/>
      <c r="E54"/>
      <c r="F54"/>
      <c r="G54"/>
      <c r="H54"/>
      <c r="P54"/>
      <c r="Q54"/>
      <c r="R54"/>
      <c r="S54"/>
      <c r="T54"/>
      <c r="U54"/>
      <c r="V54"/>
    </row>
    <row r="55" spans="2:22" x14ac:dyDescent="0.45">
      <c r="B55"/>
      <c r="C55"/>
      <c r="D55"/>
      <c r="E55"/>
      <c r="F55"/>
      <c r="G55"/>
      <c r="H55"/>
      <c r="P55"/>
      <c r="Q55"/>
      <c r="R55"/>
      <c r="S55"/>
      <c r="T55"/>
      <c r="U55"/>
      <c r="V55"/>
    </row>
    <row r="56" spans="2:22" x14ac:dyDescent="0.45">
      <c r="B56"/>
      <c r="C56"/>
      <c r="D56"/>
      <c r="E56"/>
      <c r="F56"/>
      <c r="G56"/>
      <c r="H56"/>
      <c r="P56"/>
      <c r="Q56"/>
      <c r="R56"/>
      <c r="S56"/>
      <c r="T56"/>
      <c r="U56"/>
      <c r="V56"/>
    </row>
    <row r="57" spans="2:22" x14ac:dyDescent="0.45">
      <c r="B57"/>
      <c r="C57"/>
      <c r="D57"/>
      <c r="E57"/>
      <c r="F57"/>
      <c r="G57"/>
      <c r="H57"/>
      <c r="P57"/>
      <c r="Q57"/>
      <c r="R57"/>
      <c r="S57"/>
      <c r="T57"/>
      <c r="U57"/>
      <c r="V57"/>
    </row>
    <row r="58" spans="2:22" x14ac:dyDescent="0.45">
      <c r="B58"/>
      <c r="C58"/>
      <c r="D58"/>
      <c r="E58"/>
      <c r="F58"/>
      <c r="G58"/>
      <c r="H58"/>
      <c r="P58"/>
      <c r="Q58"/>
      <c r="R58"/>
      <c r="S58"/>
      <c r="T58"/>
      <c r="U58"/>
      <c r="V58"/>
    </row>
    <row r="59" spans="2:22" x14ac:dyDescent="0.45">
      <c r="B59"/>
      <c r="C59"/>
      <c r="D59"/>
      <c r="E59"/>
      <c r="F59"/>
      <c r="G59"/>
      <c r="H59"/>
      <c r="P59"/>
      <c r="Q59"/>
      <c r="R59"/>
      <c r="S59"/>
      <c r="T59"/>
      <c r="U59"/>
      <c r="V59"/>
    </row>
    <row r="60" spans="2:22" x14ac:dyDescent="0.45">
      <c r="B60"/>
      <c r="C60"/>
      <c r="D60"/>
      <c r="E60"/>
      <c r="F60"/>
      <c r="G60"/>
      <c r="H60"/>
      <c r="P60"/>
      <c r="Q60"/>
      <c r="R60"/>
      <c r="S60"/>
      <c r="T60"/>
      <c r="U60"/>
      <c r="V60"/>
    </row>
    <row r="61" spans="2:22" x14ac:dyDescent="0.45">
      <c r="B61"/>
      <c r="C61"/>
      <c r="D61"/>
      <c r="E61"/>
      <c r="F61"/>
      <c r="G61"/>
      <c r="H61"/>
      <c r="P61"/>
      <c r="Q61"/>
      <c r="R61"/>
      <c r="S61"/>
      <c r="T61"/>
      <c r="U61"/>
      <c r="V61"/>
    </row>
    <row r="62" spans="2:22" x14ac:dyDescent="0.45">
      <c r="B62"/>
      <c r="C62"/>
      <c r="D62"/>
      <c r="E62"/>
      <c r="F62"/>
      <c r="G62"/>
      <c r="H62"/>
      <c r="P62"/>
      <c r="Q62"/>
      <c r="R62"/>
      <c r="S62"/>
      <c r="T62"/>
      <c r="U62"/>
      <c r="V62"/>
    </row>
    <row r="63" spans="2:22" x14ac:dyDescent="0.45">
      <c r="B63"/>
      <c r="C63"/>
      <c r="D63"/>
      <c r="E63"/>
      <c r="F63"/>
      <c r="G63"/>
      <c r="H63"/>
      <c r="P63"/>
      <c r="Q63"/>
      <c r="R63"/>
      <c r="S63"/>
      <c r="T63"/>
      <c r="U63"/>
      <c r="V63"/>
    </row>
    <row r="64" spans="2:22" x14ac:dyDescent="0.45">
      <c r="B64"/>
      <c r="C64"/>
      <c r="D64"/>
      <c r="E64"/>
      <c r="F64"/>
      <c r="G64"/>
      <c r="H64"/>
      <c r="P64"/>
      <c r="Q64"/>
      <c r="R64"/>
      <c r="S64"/>
      <c r="T64"/>
      <c r="U64"/>
      <c r="V64"/>
    </row>
    <row r="65" spans="2:22" x14ac:dyDescent="0.45">
      <c r="B65"/>
      <c r="C65"/>
      <c r="D65"/>
      <c r="E65"/>
      <c r="F65"/>
      <c r="G65"/>
      <c r="H65"/>
      <c r="P65"/>
      <c r="Q65"/>
      <c r="R65"/>
      <c r="S65"/>
      <c r="T65"/>
      <c r="U65"/>
      <c r="V65"/>
    </row>
    <row r="66" spans="2:22" x14ac:dyDescent="0.45">
      <c r="B66"/>
      <c r="C66"/>
      <c r="D66"/>
      <c r="E66"/>
      <c r="F66"/>
      <c r="G66"/>
      <c r="H66"/>
      <c r="P66"/>
      <c r="Q66"/>
      <c r="R66"/>
      <c r="S66"/>
      <c r="T66"/>
      <c r="U66"/>
      <c r="V66"/>
    </row>
    <row r="67" spans="2:22" x14ac:dyDescent="0.45">
      <c r="B67"/>
      <c r="C67"/>
      <c r="D67"/>
      <c r="E67"/>
      <c r="F67"/>
      <c r="G67"/>
      <c r="H67"/>
      <c r="P67"/>
      <c r="Q67"/>
      <c r="R67"/>
      <c r="S67"/>
      <c r="T67"/>
      <c r="U67"/>
      <c r="V67"/>
    </row>
    <row r="68" spans="2:22" x14ac:dyDescent="0.45">
      <c r="B68"/>
      <c r="C68"/>
      <c r="D68"/>
      <c r="E68"/>
      <c r="F68"/>
      <c r="G68"/>
      <c r="H68"/>
      <c r="P68"/>
      <c r="Q68"/>
      <c r="R68"/>
      <c r="S68"/>
      <c r="T68"/>
      <c r="U68"/>
      <c r="V68"/>
    </row>
    <row r="69" spans="2:22" x14ac:dyDescent="0.45">
      <c r="B69"/>
      <c r="C69"/>
      <c r="D69"/>
      <c r="E69"/>
      <c r="F69"/>
      <c r="G69"/>
      <c r="H69"/>
      <c r="P69"/>
      <c r="Q69"/>
      <c r="R69"/>
      <c r="S69"/>
      <c r="T69"/>
      <c r="U69"/>
      <c r="V69"/>
    </row>
    <row r="70" spans="2:22" x14ac:dyDescent="0.45">
      <c r="B70"/>
      <c r="C70"/>
      <c r="D70"/>
      <c r="E70"/>
      <c r="F70"/>
      <c r="G70"/>
      <c r="H70"/>
      <c r="P70"/>
      <c r="Q70"/>
      <c r="R70"/>
      <c r="S70"/>
      <c r="T70"/>
      <c r="U70"/>
      <c r="V70"/>
    </row>
    <row r="71" spans="2:22" x14ac:dyDescent="0.45">
      <c r="B71"/>
      <c r="C71"/>
      <c r="D71"/>
      <c r="E71"/>
      <c r="F71"/>
      <c r="G71"/>
      <c r="H71"/>
      <c r="P71"/>
      <c r="Q71"/>
      <c r="R71"/>
      <c r="S71"/>
      <c r="T71"/>
      <c r="U71"/>
      <c r="V71"/>
    </row>
    <row r="72" spans="2:22" x14ac:dyDescent="0.45">
      <c r="B72"/>
      <c r="C72"/>
      <c r="D72"/>
      <c r="E72"/>
      <c r="F72"/>
      <c r="G72"/>
      <c r="H72"/>
      <c r="P72"/>
      <c r="Q72"/>
      <c r="R72"/>
      <c r="S72"/>
      <c r="T72"/>
      <c r="U72"/>
      <c r="V72"/>
    </row>
    <row r="73" spans="2:22" x14ac:dyDescent="0.45">
      <c r="B73"/>
      <c r="C73"/>
      <c r="D73"/>
      <c r="E73"/>
      <c r="F73"/>
      <c r="G73"/>
      <c r="H73"/>
      <c r="P73"/>
      <c r="Q73"/>
      <c r="R73"/>
      <c r="S73"/>
      <c r="T73"/>
      <c r="U73"/>
      <c r="V73"/>
    </row>
    <row r="74" spans="2:22" x14ac:dyDescent="0.45">
      <c r="B74"/>
      <c r="C74"/>
      <c r="D74"/>
      <c r="E74"/>
      <c r="F74"/>
      <c r="G74"/>
      <c r="H74"/>
      <c r="P74"/>
      <c r="Q74"/>
      <c r="R74"/>
      <c r="S74"/>
      <c r="T74"/>
      <c r="U74"/>
      <c r="V74"/>
    </row>
    <row r="75" spans="2:22" x14ac:dyDescent="0.45">
      <c r="B75"/>
      <c r="C75"/>
      <c r="D75"/>
      <c r="E75"/>
      <c r="F75"/>
      <c r="G75"/>
      <c r="H75"/>
      <c r="P75"/>
      <c r="Q75"/>
      <c r="R75"/>
      <c r="S75"/>
      <c r="T75"/>
      <c r="U75"/>
      <c r="V75"/>
    </row>
    <row r="76" spans="2:22" x14ac:dyDescent="0.45">
      <c r="B76"/>
      <c r="C76"/>
      <c r="D76"/>
      <c r="E76"/>
      <c r="F76"/>
      <c r="G76"/>
      <c r="H76"/>
      <c r="P76"/>
      <c r="Q76"/>
      <c r="R76"/>
      <c r="S76"/>
      <c r="T76"/>
      <c r="U76"/>
      <c r="V76"/>
    </row>
    <row r="77" spans="2:22" x14ac:dyDescent="0.45">
      <c r="B77"/>
      <c r="C77"/>
      <c r="D77"/>
      <c r="E77"/>
      <c r="F77"/>
      <c r="G77"/>
      <c r="H77"/>
      <c r="P77"/>
      <c r="Q77"/>
      <c r="R77"/>
      <c r="S77"/>
      <c r="T77"/>
      <c r="U77"/>
      <c r="V77"/>
    </row>
    <row r="78" spans="2:22" x14ac:dyDescent="0.45">
      <c r="B78"/>
      <c r="C78"/>
      <c r="D78"/>
      <c r="E78"/>
      <c r="F78"/>
      <c r="G78"/>
      <c r="H78"/>
      <c r="P78"/>
      <c r="Q78"/>
      <c r="R78"/>
      <c r="S78"/>
      <c r="T78"/>
      <c r="U78"/>
      <c r="V78"/>
    </row>
    <row r="79" spans="2:22" x14ac:dyDescent="0.45">
      <c r="B79"/>
      <c r="C79"/>
      <c r="D79"/>
      <c r="E79"/>
      <c r="F79"/>
      <c r="G79"/>
      <c r="H79"/>
      <c r="P79"/>
      <c r="Q79"/>
      <c r="R79"/>
      <c r="S79"/>
      <c r="T79"/>
      <c r="U79"/>
      <c r="V79"/>
    </row>
    <row r="80" spans="2:22" x14ac:dyDescent="0.45">
      <c r="B80"/>
      <c r="C80"/>
      <c r="D80"/>
      <c r="E80"/>
      <c r="F80"/>
      <c r="G80"/>
      <c r="H80"/>
      <c r="P80"/>
      <c r="Q80"/>
      <c r="R80"/>
      <c r="S80"/>
      <c r="T80"/>
      <c r="U80"/>
      <c r="V80"/>
    </row>
    <row r="81" spans="2:22" x14ac:dyDescent="0.45">
      <c r="B81"/>
      <c r="C81"/>
      <c r="D81"/>
      <c r="E81"/>
      <c r="F81"/>
      <c r="G81"/>
      <c r="H81"/>
      <c r="P81"/>
      <c r="Q81"/>
      <c r="R81"/>
      <c r="S81"/>
      <c r="T81"/>
      <c r="U81"/>
      <c r="V81"/>
    </row>
    <row r="82" spans="2:22" x14ac:dyDescent="0.45">
      <c r="B82"/>
      <c r="C82"/>
      <c r="D82"/>
      <c r="E82"/>
      <c r="F82"/>
      <c r="G82"/>
      <c r="H82"/>
      <c r="P82"/>
      <c r="Q82"/>
      <c r="R82"/>
      <c r="S82"/>
      <c r="T82"/>
      <c r="U82"/>
      <c r="V82"/>
    </row>
    <row r="83" spans="2:22" x14ac:dyDescent="0.45">
      <c r="B83"/>
      <c r="C83"/>
      <c r="D83"/>
      <c r="E83"/>
      <c r="F83"/>
      <c r="G83"/>
      <c r="H83"/>
      <c r="P83"/>
      <c r="Q83"/>
      <c r="R83"/>
      <c r="S83"/>
      <c r="T83"/>
      <c r="U83"/>
      <c r="V83"/>
    </row>
    <row r="84" spans="2:22" x14ac:dyDescent="0.45">
      <c r="B84"/>
      <c r="C84"/>
      <c r="D84"/>
      <c r="E84"/>
      <c r="F84"/>
      <c r="G84"/>
      <c r="H84"/>
      <c r="P84"/>
      <c r="Q84"/>
      <c r="R84"/>
      <c r="S84"/>
      <c r="T84"/>
      <c r="U84"/>
      <c r="V84"/>
    </row>
    <row r="85" spans="2:22" x14ac:dyDescent="0.45">
      <c r="B85"/>
      <c r="C85"/>
      <c r="D85"/>
      <c r="E85"/>
      <c r="F85"/>
      <c r="G85"/>
      <c r="H85"/>
      <c r="P85"/>
      <c r="Q85"/>
      <c r="R85"/>
      <c r="S85"/>
      <c r="T85"/>
      <c r="U85"/>
      <c r="V85"/>
    </row>
    <row r="86" spans="2:22" x14ac:dyDescent="0.45">
      <c r="B86"/>
      <c r="C86"/>
      <c r="D86"/>
      <c r="E86"/>
      <c r="F86"/>
      <c r="G86"/>
      <c r="H86"/>
      <c r="P86"/>
      <c r="Q86"/>
      <c r="R86"/>
      <c r="S86"/>
      <c r="T86"/>
      <c r="U86"/>
      <c r="V86"/>
    </row>
    <row r="87" spans="2:22" x14ac:dyDescent="0.45">
      <c r="B87"/>
      <c r="C87"/>
      <c r="D87"/>
      <c r="E87"/>
      <c r="F87"/>
      <c r="G87"/>
      <c r="H87"/>
      <c r="P87"/>
      <c r="Q87"/>
      <c r="R87"/>
      <c r="S87"/>
      <c r="T87"/>
      <c r="U87"/>
      <c r="V87"/>
    </row>
    <row r="88" spans="2:22" x14ac:dyDescent="0.45">
      <c r="B88"/>
      <c r="C88"/>
      <c r="D88"/>
      <c r="E88"/>
      <c r="F88"/>
      <c r="G88"/>
      <c r="H88"/>
      <c r="P88"/>
      <c r="Q88"/>
      <c r="R88"/>
      <c r="S88"/>
      <c r="T88"/>
      <c r="U88"/>
      <c r="V88"/>
    </row>
    <row r="89" spans="2:22" x14ac:dyDescent="0.45">
      <c r="B89"/>
      <c r="C89"/>
      <c r="D89"/>
      <c r="E89"/>
      <c r="F89"/>
      <c r="G89"/>
      <c r="H89"/>
      <c r="P89"/>
      <c r="Q89"/>
      <c r="R89"/>
      <c r="S89"/>
      <c r="T89"/>
      <c r="U89"/>
      <c r="V89"/>
    </row>
    <row r="90" spans="2:22" x14ac:dyDescent="0.45">
      <c r="B90"/>
      <c r="C90"/>
      <c r="D90"/>
      <c r="E90"/>
      <c r="F90"/>
      <c r="G90"/>
      <c r="H90"/>
      <c r="P90"/>
      <c r="Q90"/>
      <c r="R90"/>
      <c r="S90"/>
      <c r="T90"/>
      <c r="U90"/>
      <c r="V90"/>
    </row>
    <row r="91" spans="2:22" x14ac:dyDescent="0.45">
      <c r="B91"/>
      <c r="C91"/>
      <c r="D91"/>
      <c r="E91"/>
      <c r="F91"/>
      <c r="G91"/>
      <c r="H91"/>
      <c r="P91"/>
      <c r="Q91"/>
      <c r="R91"/>
      <c r="S91"/>
      <c r="T91"/>
      <c r="U91"/>
      <c r="V91"/>
    </row>
    <row r="92" spans="2:22" x14ac:dyDescent="0.45">
      <c r="B92"/>
      <c r="C92"/>
      <c r="D92"/>
      <c r="E92"/>
      <c r="F92"/>
      <c r="G92"/>
      <c r="H92"/>
      <c r="P92"/>
      <c r="Q92"/>
      <c r="R92"/>
      <c r="S92"/>
      <c r="T92"/>
      <c r="U92"/>
      <c r="V92"/>
    </row>
    <row r="93" spans="2:22" x14ac:dyDescent="0.45">
      <c r="B93"/>
      <c r="C93"/>
      <c r="D93"/>
      <c r="E93"/>
      <c r="F93"/>
      <c r="G93"/>
      <c r="H93"/>
      <c r="P93"/>
      <c r="Q93"/>
      <c r="R93"/>
      <c r="S93"/>
      <c r="T93"/>
      <c r="U93"/>
      <c r="V93"/>
    </row>
    <row r="94" spans="2:22" x14ac:dyDescent="0.45">
      <c r="B94"/>
      <c r="C94"/>
      <c r="D94"/>
      <c r="E94"/>
      <c r="F94"/>
      <c r="G94"/>
      <c r="H94"/>
      <c r="P94"/>
      <c r="Q94"/>
      <c r="R94"/>
      <c r="S94"/>
      <c r="T94"/>
      <c r="U94"/>
      <c r="V94"/>
    </row>
    <row r="95" spans="2:22" x14ac:dyDescent="0.45">
      <c r="B95"/>
      <c r="C95"/>
      <c r="D95"/>
      <c r="E95"/>
      <c r="F95"/>
      <c r="G95"/>
      <c r="H95"/>
      <c r="P95"/>
      <c r="Q95"/>
      <c r="R95"/>
      <c r="S95"/>
      <c r="T95"/>
      <c r="U95"/>
      <c r="V95"/>
    </row>
    <row r="96" spans="2:22" x14ac:dyDescent="0.45">
      <c r="B96"/>
      <c r="C96"/>
      <c r="D96"/>
      <c r="E96"/>
      <c r="F96"/>
      <c r="G96"/>
      <c r="H96"/>
      <c r="P96"/>
      <c r="Q96"/>
      <c r="R96"/>
      <c r="S96"/>
      <c r="T96"/>
      <c r="U96"/>
      <c r="V96"/>
    </row>
    <row r="97" spans="2:22" x14ac:dyDescent="0.45">
      <c r="B97"/>
      <c r="C97"/>
      <c r="D97"/>
      <c r="E97"/>
      <c r="F97"/>
      <c r="G97"/>
      <c r="H97"/>
      <c r="P97"/>
      <c r="Q97"/>
      <c r="R97"/>
      <c r="S97"/>
      <c r="T97"/>
      <c r="U97"/>
      <c r="V97"/>
    </row>
    <row r="98" spans="2:22" x14ac:dyDescent="0.45">
      <c r="B98"/>
      <c r="C98"/>
      <c r="D98"/>
      <c r="E98"/>
      <c r="F98"/>
      <c r="G98"/>
      <c r="H98"/>
      <c r="P98"/>
      <c r="Q98"/>
      <c r="R98"/>
      <c r="S98"/>
      <c r="T98"/>
      <c r="U98"/>
      <c r="V98"/>
    </row>
    <row r="99" spans="2:22" x14ac:dyDescent="0.45">
      <c r="B99"/>
      <c r="C99"/>
      <c r="D99"/>
      <c r="E99"/>
      <c r="F99"/>
      <c r="G99"/>
      <c r="H99"/>
      <c r="P99"/>
      <c r="Q99"/>
      <c r="R99"/>
      <c r="S99"/>
      <c r="T99"/>
      <c r="U99"/>
      <c r="V99"/>
    </row>
    <row r="100" spans="2:22" x14ac:dyDescent="0.45">
      <c r="B100"/>
      <c r="C100"/>
      <c r="D100"/>
      <c r="E100"/>
      <c r="F100"/>
      <c r="G100"/>
      <c r="H100"/>
      <c r="P100"/>
      <c r="Q100"/>
      <c r="R100"/>
      <c r="S100"/>
      <c r="T100"/>
      <c r="U100"/>
      <c r="V100"/>
    </row>
    <row r="101" spans="2:22" x14ac:dyDescent="0.45">
      <c r="B101"/>
      <c r="C101"/>
      <c r="D101"/>
      <c r="E101"/>
      <c r="F101"/>
      <c r="G101"/>
      <c r="H101"/>
      <c r="P101"/>
      <c r="Q101"/>
      <c r="R101"/>
      <c r="S101"/>
      <c r="T101"/>
      <c r="U101"/>
      <c r="V101"/>
    </row>
    <row r="102" spans="2:22" x14ac:dyDescent="0.45">
      <c r="B102"/>
      <c r="C102"/>
      <c r="D102"/>
      <c r="E102"/>
      <c r="F102"/>
      <c r="G102"/>
      <c r="H102"/>
      <c r="P102"/>
      <c r="Q102"/>
      <c r="R102"/>
      <c r="S102"/>
      <c r="T102"/>
      <c r="U102"/>
      <c r="V102"/>
    </row>
    <row r="103" spans="2:22" x14ac:dyDescent="0.45">
      <c r="B103"/>
      <c r="C103"/>
      <c r="D103"/>
      <c r="E103"/>
      <c r="F103"/>
      <c r="G103"/>
      <c r="H103"/>
      <c r="P103"/>
      <c r="Q103"/>
      <c r="R103"/>
      <c r="S103"/>
      <c r="T103"/>
      <c r="U103"/>
      <c r="V103"/>
    </row>
    <row r="104" spans="2:22" x14ac:dyDescent="0.45">
      <c r="B104"/>
      <c r="C104"/>
      <c r="D104"/>
      <c r="E104"/>
      <c r="F104"/>
      <c r="G104"/>
      <c r="H104"/>
      <c r="P104"/>
      <c r="Q104"/>
      <c r="R104"/>
      <c r="S104"/>
      <c r="T104"/>
      <c r="U104"/>
      <c r="V104"/>
    </row>
    <row r="105" spans="2:22" x14ac:dyDescent="0.45">
      <c r="B105"/>
      <c r="C105"/>
      <c r="D105"/>
      <c r="E105"/>
      <c r="F105"/>
      <c r="G105"/>
      <c r="H105"/>
      <c r="P105"/>
      <c r="Q105"/>
      <c r="R105"/>
      <c r="S105"/>
      <c r="T105"/>
      <c r="U105"/>
      <c r="V105"/>
    </row>
    <row r="106" spans="2:22" x14ac:dyDescent="0.45">
      <c r="B106"/>
      <c r="C106"/>
      <c r="D106"/>
      <c r="E106"/>
      <c r="F106"/>
      <c r="G106"/>
      <c r="H106"/>
      <c r="P106"/>
      <c r="Q106"/>
      <c r="R106"/>
      <c r="S106"/>
      <c r="T106"/>
      <c r="U106"/>
      <c r="V106"/>
    </row>
    <row r="107" spans="2:22" x14ac:dyDescent="0.45">
      <c r="B107"/>
      <c r="C107"/>
      <c r="D107"/>
      <c r="E107"/>
      <c r="F107"/>
      <c r="G107"/>
      <c r="H107"/>
      <c r="P107"/>
      <c r="Q107"/>
      <c r="R107"/>
      <c r="S107"/>
      <c r="T107"/>
      <c r="U107"/>
      <c r="V107"/>
    </row>
    <row r="108" spans="2:22" x14ac:dyDescent="0.45">
      <c r="B108"/>
      <c r="C108"/>
      <c r="D108"/>
      <c r="E108"/>
      <c r="F108"/>
      <c r="G108"/>
      <c r="H108"/>
      <c r="P108"/>
      <c r="Q108"/>
      <c r="R108"/>
      <c r="S108"/>
      <c r="T108"/>
      <c r="U108"/>
      <c r="V108"/>
    </row>
    <row r="109" spans="2:22" x14ac:dyDescent="0.45">
      <c r="B109"/>
      <c r="C109"/>
      <c r="D109"/>
      <c r="E109"/>
      <c r="F109"/>
      <c r="G109"/>
      <c r="H109"/>
      <c r="P109"/>
      <c r="Q109"/>
      <c r="R109"/>
      <c r="S109"/>
      <c r="T109"/>
      <c r="U109"/>
      <c r="V109"/>
    </row>
    <row r="110" spans="2:22" x14ac:dyDescent="0.45">
      <c r="B110"/>
      <c r="C110"/>
      <c r="D110"/>
      <c r="E110"/>
      <c r="F110"/>
      <c r="G110"/>
      <c r="H110"/>
      <c r="P110"/>
      <c r="Q110"/>
      <c r="R110"/>
      <c r="S110"/>
      <c r="T110"/>
      <c r="U110"/>
      <c r="V110"/>
    </row>
    <row r="111" spans="2:22" x14ac:dyDescent="0.45">
      <c r="B111"/>
      <c r="C111"/>
      <c r="D111"/>
      <c r="E111"/>
      <c r="F111"/>
      <c r="G111"/>
      <c r="H111"/>
      <c r="P111"/>
      <c r="Q111"/>
      <c r="R111"/>
      <c r="S111"/>
      <c r="T111"/>
      <c r="U111"/>
      <c r="V111"/>
    </row>
    <row r="112" spans="2:22" x14ac:dyDescent="0.45">
      <c r="B112"/>
      <c r="C112"/>
      <c r="D112"/>
      <c r="E112"/>
      <c r="F112"/>
      <c r="G112"/>
      <c r="H112"/>
      <c r="P112"/>
      <c r="Q112"/>
      <c r="R112"/>
      <c r="S112"/>
      <c r="T112"/>
      <c r="U112"/>
      <c r="V112"/>
    </row>
    <row r="113" spans="2:22" x14ac:dyDescent="0.45">
      <c r="B113"/>
      <c r="C113"/>
      <c r="D113"/>
      <c r="E113"/>
      <c r="F113"/>
      <c r="G113"/>
      <c r="H113"/>
      <c r="P113"/>
      <c r="Q113"/>
      <c r="R113"/>
      <c r="S113"/>
      <c r="T113"/>
      <c r="U113"/>
      <c r="V113"/>
    </row>
    <row r="114" spans="2:22" x14ac:dyDescent="0.45">
      <c r="B114"/>
      <c r="C114"/>
      <c r="D114"/>
      <c r="E114"/>
      <c r="F114"/>
      <c r="G114"/>
      <c r="H114"/>
      <c r="P114"/>
      <c r="Q114"/>
      <c r="R114"/>
      <c r="S114"/>
      <c r="T114"/>
      <c r="U114"/>
      <c r="V114"/>
    </row>
    <row r="115" spans="2:22" x14ac:dyDescent="0.45">
      <c r="B115"/>
      <c r="C115"/>
      <c r="D115"/>
      <c r="E115"/>
      <c r="F115"/>
      <c r="G115"/>
      <c r="H115"/>
      <c r="P115"/>
      <c r="Q115"/>
      <c r="R115"/>
      <c r="S115"/>
      <c r="T115"/>
      <c r="U115"/>
      <c r="V115"/>
    </row>
    <row r="116" spans="2:22" x14ac:dyDescent="0.45">
      <c r="B116"/>
      <c r="C116"/>
      <c r="D116"/>
      <c r="E116"/>
      <c r="F116"/>
      <c r="G116"/>
      <c r="H116"/>
      <c r="P116"/>
      <c r="Q116"/>
      <c r="R116"/>
      <c r="S116"/>
      <c r="T116"/>
      <c r="U116"/>
      <c r="V116"/>
    </row>
    <row r="117" spans="2:22" x14ac:dyDescent="0.45">
      <c r="B117"/>
      <c r="C117"/>
      <c r="D117"/>
      <c r="E117"/>
      <c r="F117"/>
      <c r="G117"/>
      <c r="H117"/>
      <c r="P117"/>
      <c r="Q117"/>
      <c r="R117"/>
      <c r="S117"/>
      <c r="T117"/>
      <c r="U117"/>
      <c r="V117"/>
    </row>
    <row r="118" spans="2:22" x14ac:dyDescent="0.45">
      <c r="B118"/>
      <c r="C118"/>
      <c r="D118"/>
      <c r="E118"/>
      <c r="F118"/>
      <c r="G118"/>
      <c r="H118"/>
      <c r="P118"/>
      <c r="Q118"/>
      <c r="R118"/>
      <c r="S118"/>
      <c r="T118"/>
      <c r="U118"/>
      <c r="V118"/>
    </row>
    <row r="119" spans="2:22" x14ac:dyDescent="0.45">
      <c r="B119"/>
      <c r="C119"/>
      <c r="D119"/>
      <c r="E119"/>
      <c r="F119"/>
      <c r="G119"/>
      <c r="H119"/>
      <c r="P119"/>
      <c r="Q119"/>
      <c r="R119"/>
      <c r="S119"/>
      <c r="T119"/>
      <c r="U119"/>
      <c r="V119"/>
    </row>
    <row r="120" spans="2:22" x14ac:dyDescent="0.45">
      <c r="B120"/>
      <c r="C120"/>
      <c r="D120"/>
      <c r="E120"/>
      <c r="F120"/>
      <c r="G120"/>
      <c r="H120"/>
      <c r="P120"/>
      <c r="Q120"/>
      <c r="R120"/>
      <c r="S120"/>
      <c r="T120"/>
      <c r="U120"/>
      <c r="V120"/>
    </row>
    <row r="121" spans="2:22" x14ac:dyDescent="0.45">
      <c r="B121"/>
      <c r="C121"/>
      <c r="D121"/>
      <c r="E121"/>
      <c r="F121"/>
      <c r="G121"/>
      <c r="H121"/>
      <c r="P121"/>
      <c r="Q121"/>
      <c r="R121"/>
      <c r="S121"/>
      <c r="T121"/>
      <c r="U121"/>
      <c r="V121"/>
    </row>
    <row r="122" spans="2:22" x14ac:dyDescent="0.45">
      <c r="B122"/>
      <c r="C122"/>
      <c r="D122"/>
      <c r="E122"/>
      <c r="F122"/>
      <c r="G122"/>
      <c r="H122"/>
      <c r="P122"/>
      <c r="Q122"/>
      <c r="R122"/>
      <c r="S122"/>
      <c r="T122"/>
      <c r="U122"/>
      <c r="V122"/>
    </row>
    <row r="123" spans="2:22" x14ac:dyDescent="0.45">
      <c r="B123"/>
      <c r="C123"/>
      <c r="D123"/>
      <c r="E123"/>
      <c r="F123"/>
      <c r="G123"/>
      <c r="H123"/>
      <c r="P123"/>
      <c r="Q123"/>
      <c r="R123"/>
      <c r="S123"/>
      <c r="T123"/>
      <c r="U123"/>
      <c r="V123"/>
    </row>
    <row r="124" spans="2:22" x14ac:dyDescent="0.45">
      <c r="B124"/>
      <c r="C124"/>
      <c r="D124"/>
      <c r="E124"/>
      <c r="F124"/>
      <c r="G124"/>
      <c r="H124"/>
      <c r="P124"/>
      <c r="Q124"/>
      <c r="R124"/>
      <c r="S124"/>
      <c r="T124"/>
      <c r="U124"/>
      <c r="V124"/>
    </row>
    <row r="125" spans="2:22" x14ac:dyDescent="0.45">
      <c r="B125"/>
      <c r="C125"/>
      <c r="D125"/>
      <c r="E125"/>
      <c r="F125"/>
      <c r="G125"/>
      <c r="H125"/>
      <c r="P125"/>
      <c r="Q125"/>
      <c r="R125"/>
      <c r="S125"/>
      <c r="T125"/>
      <c r="U125"/>
      <c r="V125"/>
    </row>
    <row r="126" spans="2:22" x14ac:dyDescent="0.45">
      <c r="B126"/>
      <c r="C126"/>
      <c r="D126"/>
      <c r="E126"/>
      <c r="F126"/>
      <c r="G126"/>
      <c r="H126"/>
      <c r="P126"/>
      <c r="Q126"/>
      <c r="R126"/>
      <c r="S126"/>
      <c r="T126"/>
      <c r="U126"/>
      <c r="V126"/>
    </row>
    <row r="127" spans="2:22" x14ac:dyDescent="0.45">
      <c r="B127"/>
      <c r="C127"/>
      <c r="D127"/>
      <c r="E127"/>
      <c r="F127"/>
      <c r="G127"/>
      <c r="H127"/>
      <c r="P127"/>
      <c r="Q127"/>
      <c r="R127"/>
      <c r="S127"/>
      <c r="T127"/>
      <c r="U127"/>
      <c r="V127"/>
    </row>
    <row r="128" spans="2:22" x14ac:dyDescent="0.45">
      <c r="B128"/>
      <c r="C128"/>
      <c r="D128"/>
      <c r="E128"/>
      <c r="F128"/>
      <c r="G128"/>
      <c r="H128"/>
      <c r="P128"/>
      <c r="Q128"/>
      <c r="R128"/>
      <c r="S128"/>
      <c r="T128"/>
      <c r="U128"/>
      <c r="V128"/>
    </row>
    <row r="129" spans="2:22" x14ac:dyDescent="0.45">
      <c r="B129"/>
      <c r="C129"/>
      <c r="D129"/>
      <c r="E129"/>
      <c r="F129"/>
      <c r="G129"/>
      <c r="H129"/>
      <c r="P129"/>
      <c r="Q129"/>
      <c r="R129"/>
      <c r="S129"/>
      <c r="T129"/>
      <c r="U129"/>
      <c r="V129"/>
    </row>
    <row r="130" spans="2:22" x14ac:dyDescent="0.45">
      <c r="B130"/>
      <c r="C130"/>
      <c r="D130"/>
      <c r="E130"/>
      <c r="F130"/>
      <c r="G130"/>
      <c r="H130"/>
      <c r="P130"/>
      <c r="Q130"/>
      <c r="R130"/>
      <c r="S130"/>
      <c r="T130"/>
      <c r="U130"/>
      <c r="V130"/>
    </row>
    <row r="131" spans="2:22" x14ac:dyDescent="0.45">
      <c r="B131"/>
      <c r="C131"/>
      <c r="D131"/>
      <c r="E131"/>
      <c r="F131"/>
      <c r="G131"/>
      <c r="H131"/>
      <c r="P131"/>
      <c r="Q131"/>
      <c r="R131"/>
      <c r="S131"/>
      <c r="T131"/>
      <c r="U131"/>
      <c r="V131"/>
    </row>
    <row r="132" spans="2:22" x14ac:dyDescent="0.45">
      <c r="B132"/>
      <c r="C132"/>
      <c r="D132"/>
      <c r="E132"/>
      <c r="F132"/>
      <c r="G132"/>
      <c r="H132"/>
      <c r="P132"/>
      <c r="Q132"/>
      <c r="R132"/>
      <c r="S132"/>
      <c r="T132"/>
      <c r="U132"/>
      <c r="V132"/>
    </row>
    <row r="133" spans="2:22" x14ac:dyDescent="0.45">
      <c r="B133"/>
      <c r="C133"/>
      <c r="D133"/>
      <c r="E133"/>
      <c r="F133"/>
      <c r="G133"/>
      <c r="H133"/>
      <c r="P133"/>
      <c r="Q133"/>
      <c r="R133"/>
      <c r="S133"/>
      <c r="T133"/>
      <c r="U133"/>
      <c r="V133"/>
    </row>
    <row r="134" spans="2:22" x14ac:dyDescent="0.45">
      <c r="B134"/>
      <c r="C134"/>
      <c r="D134"/>
      <c r="E134"/>
      <c r="F134"/>
      <c r="G134"/>
      <c r="H134"/>
      <c r="P134"/>
      <c r="Q134"/>
      <c r="R134"/>
      <c r="S134"/>
      <c r="T134"/>
      <c r="U134"/>
      <c r="V134"/>
    </row>
    <row r="135" spans="2:22" x14ac:dyDescent="0.45">
      <c r="B135"/>
      <c r="C135"/>
      <c r="D135"/>
      <c r="E135"/>
      <c r="F135"/>
      <c r="G135"/>
      <c r="H135"/>
      <c r="P135"/>
      <c r="Q135"/>
      <c r="R135"/>
      <c r="S135"/>
      <c r="T135"/>
      <c r="U135"/>
      <c r="V135"/>
    </row>
    <row r="136" spans="2:22" x14ac:dyDescent="0.45">
      <c r="B136"/>
      <c r="C136"/>
      <c r="D136"/>
      <c r="E136"/>
      <c r="F136"/>
      <c r="G136"/>
      <c r="H136"/>
      <c r="P136"/>
      <c r="Q136"/>
      <c r="R136"/>
      <c r="S136"/>
      <c r="T136"/>
      <c r="U136"/>
      <c r="V136"/>
    </row>
    <row r="137" spans="2:22" x14ac:dyDescent="0.45">
      <c r="B137"/>
      <c r="C137"/>
      <c r="D137"/>
      <c r="E137"/>
      <c r="F137"/>
      <c r="G137"/>
      <c r="H137"/>
      <c r="P137"/>
      <c r="Q137"/>
      <c r="R137"/>
      <c r="S137"/>
      <c r="T137"/>
      <c r="U137"/>
      <c r="V137"/>
    </row>
    <row r="138" spans="2:22" x14ac:dyDescent="0.45">
      <c r="B138"/>
      <c r="C138"/>
      <c r="D138"/>
      <c r="E138"/>
      <c r="F138"/>
      <c r="G138"/>
      <c r="H138"/>
      <c r="P138"/>
      <c r="Q138"/>
      <c r="R138"/>
      <c r="S138"/>
      <c r="T138"/>
      <c r="U138"/>
      <c r="V138"/>
    </row>
    <row r="139" spans="2:22" x14ac:dyDescent="0.45">
      <c r="B139"/>
      <c r="C139"/>
      <c r="D139"/>
      <c r="E139"/>
      <c r="F139"/>
      <c r="G139"/>
      <c r="H139"/>
      <c r="P139"/>
      <c r="Q139"/>
      <c r="R139"/>
      <c r="S139"/>
      <c r="T139"/>
      <c r="U139"/>
      <c r="V139"/>
    </row>
    <row r="140" spans="2:22" x14ac:dyDescent="0.45">
      <c r="B140"/>
      <c r="C140"/>
      <c r="D140"/>
      <c r="E140"/>
      <c r="F140"/>
      <c r="G140"/>
      <c r="H140"/>
      <c r="P140"/>
      <c r="Q140"/>
      <c r="R140"/>
      <c r="S140"/>
      <c r="T140"/>
      <c r="U140"/>
      <c r="V140"/>
    </row>
    <row r="141" spans="2:22" x14ac:dyDescent="0.45">
      <c r="B141"/>
      <c r="C141"/>
      <c r="D141"/>
      <c r="E141"/>
      <c r="F141"/>
      <c r="G141"/>
      <c r="H141"/>
      <c r="P141"/>
      <c r="Q141"/>
      <c r="R141"/>
      <c r="S141"/>
      <c r="T141"/>
      <c r="U141"/>
      <c r="V141"/>
    </row>
    <row r="142" spans="2:22" x14ac:dyDescent="0.45">
      <c r="B142"/>
      <c r="C142"/>
      <c r="D142"/>
      <c r="E142"/>
      <c r="F142"/>
      <c r="G142"/>
      <c r="H142"/>
      <c r="P142"/>
      <c r="Q142"/>
      <c r="R142"/>
      <c r="S142"/>
      <c r="T142"/>
      <c r="U142"/>
      <c r="V142"/>
    </row>
    <row r="143" spans="2:22" x14ac:dyDescent="0.45">
      <c r="B143"/>
      <c r="C143"/>
      <c r="D143"/>
      <c r="E143"/>
      <c r="F143"/>
      <c r="G143"/>
      <c r="H143"/>
      <c r="P143"/>
      <c r="Q143"/>
      <c r="R143"/>
      <c r="S143"/>
      <c r="T143"/>
      <c r="U143"/>
      <c r="V143"/>
    </row>
    <row r="144" spans="2:22" x14ac:dyDescent="0.45">
      <c r="B144"/>
      <c r="C144"/>
      <c r="D144"/>
      <c r="E144"/>
      <c r="F144"/>
      <c r="G144"/>
      <c r="H144"/>
      <c r="P144"/>
      <c r="Q144"/>
      <c r="R144"/>
      <c r="S144"/>
      <c r="T144"/>
      <c r="U144"/>
      <c r="V144"/>
    </row>
    <row r="145" spans="2:22" x14ac:dyDescent="0.45">
      <c r="B145"/>
      <c r="C145"/>
      <c r="D145"/>
      <c r="E145"/>
      <c r="F145"/>
      <c r="G145"/>
      <c r="H145"/>
      <c r="P145"/>
      <c r="Q145"/>
      <c r="R145"/>
      <c r="S145"/>
      <c r="T145"/>
      <c r="U145"/>
      <c r="V145"/>
    </row>
    <row r="146" spans="2:22" x14ac:dyDescent="0.45">
      <c r="B146"/>
      <c r="C146"/>
      <c r="D146"/>
      <c r="E146"/>
      <c r="F146"/>
      <c r="G146"/>
      <c r="H146"/>
      <c r="P146"/>
      <c r="Q146"/>
      <c r="R146"/>
      <c r="S146"/>
      <c r="T146"/>
      <c r="U146"/>
      <c r="V146"/>
    </row>
    <row r="147" spans="2:22" x14ac:dyDescent="0.45">
      <c r="B147"/>
      <c r="C147"/>
      <c r="D147"/>
      <c r="E147"/>
      <c r="F147"/>
      <c r="G147"/>
      <c r="H147"/>
      <c r="P147"/>
      <c r="Q147"/>
      <c r="R147"/>
      <c r="S147"/>
      <c r="T147"/>
      <c r="U147"/>
      <c r="V147"/>
    </row>
    <row r="148" spans="2:22" x14ac:dyDescent="0.45">
      <c r="B148"/>
      <c r="C148"/>
      <c r="D148"/>
      <c r="E148"/>
      <c r="F148"/>
      <c r="G148"/>
      <c r="H148"/>
      <c r="P148"/>
      <c r="Q148"/>
      <c r="R148"/>
      <c r="S148"/>
      <c r="T148"/>
      <c r="U148"/>
      <c r="V148"/>
    </row>
    <row r="149" spans="2:22" x14ac:dyDescent="0.45">
      <c r="B149"/>
      <c r="C149"/>
      <c r="D149"/>
      <c r="E149"/>
      <c r="F149"/>
      <c r="G149"/>
      <c r="H149"/>
      <c r="P149"/>
      <c r="Q149"/>
      <c r="R149"/>
      <c r="S149"/>
      <c r="T149"/>
      <c r="U149"/>
      <c r="V149"/>
    </row>
    <row r="150" spans="2:22" x14ac:dyDescent="0.45">
      <c r="B150"/>
      <c r="C150"/>
      <c r="D150"/>
      <c r="E150"/>
      <c r="F150"/>
      <c r="G150"/>
      <c r="H150"/>
      <c r="P150"/>
      <c r="Q150"/>
      <c r="R150"/>
      <c r="S150"/>
      <c r="T150"/>
      <c r="U150"/>
      <c r="V150"/>
    </row>
  </sheetData>
  <protectedRanges>
    <protectedRange algorithmName="SHA-512" hashValue="fvb/wjnuV8VasTMA/MGsi9Nocwc8c5d4xc3BeDqQFE2DlsV6AFNwH1PysaEAZ/tbCNXOETG9+p213IOOIxrukw==" saltValue="++vuj9xHbus1fCXdp8h9qQ==" spinCount="100000" sqref="A5:H9" name="Protected Range"/>
    <protectedRange sqref="B2:H2" name="Bidding"/>
  </protectedRanges>
  <mergeCells count="4">
    <mergeCell ref="Y11:AE11"/>
    <mergeCell ref="AG11:AM11"/>
    <mergeCell ref="A11:A45"/>
    <mergeCell ref="O11:O45"/>
  </mergeCells>
  <phoneticPr fontId="11" type="noConversion"/>
  <conditionalFormatting sqref="B5:H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:V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:H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expression" dxfId="10" priority="30">
      <formula>$I$18 = "NOT ALLOWED"</formula>
    </cfRule>
    <cfRule type="expression" dxfId="9" priority="31">
      <formula>$I$18="Under"</formula>
    </cfRule>
    <cfRule type="expression" dxfId="8" priority="32">
      <formula>$I$18 = "Over"</formula>
    </cfRule>
  </conditionalFormatting>
  <conditionalFormatting sqref="B9:H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H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F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H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7:H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F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:H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:H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:V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V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V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:V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F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8:F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layer1_Won">
                <anchor moveWithCells="1" sizeWithCells="1">
                  <from>
                    <xdr:col>10</xdr:col>
                    <xdr:colOff>7620</xdr:colOff>
                    <xdr:row>11</xdr:row>
                    <xdr:rowOff>175260</xdr:rowOff>
                  </from>
                  <to>
                    <xdr:col>10</xdr:col>
                    <xdr:colOff>1089660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Next_round">
                <anchor moveWithCells="1" sizeWithCells="1">
                  <from>
                    <xdr:col>12</xdr:col>
                    <xdr:colOff>22860</xdr:colOff>
                    <xdr:row>17</xdr:row>
                    <xdr:rowOff>99060</xdr:rowOff>
                  </from>
                  <to>
                    <xdr:col>13</xdr:col>
                    <xdr:colOff>99060</xdr:colOff>
                    <xdr:row>19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Populate">
                <anchor moveWithCells="1" sizeWithCells="1">
                  <from>
                    <xdr:col>11</xdr:col>
                    <xdr:colOff>1219200</xdr:colOff>
                    <xdr:row>2</xdr:row>
                    <xdr:rowOff>0</xdr:rowOff>
                  </from>
                  <to>
                    <xdr:col>13</xdr:col>
                    <xdr:colOff>22860</xdr:colOff>
                    <xdr:row>4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player2_Won">
                <anchor moveWithCells="1" sizeWithCells="1">
                  <from>
                    <xdr:col>10</xdr:col>
                    <xdr:colOff>30480</xdr:colOff>
                    <xdr:row>13</xdr:row>
                    <xdr:rowOff>83820</xdr:rowOff>
                  </from>
                  <to>
                    <xdr:col>10</xdr:col>
                    <xdr:colOff>1097280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player3_Won">
                <anchor moveWithCells="1" sizeWithCells="1">
                  <from>
                    <xdr:col>10</xdr:col>
                    <xdr:colOff>30480</xdr:colOff>
                    <xdr:row>15</xdr:row>
                    <xdr:rowOff>7620</xdr:rowOff>
                  </from>
                  <to>
                    <xdr:col>10</xdr:col>
                    <xdr:colOff>1074420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9" name="Button 22">
              <controlPr defaultSize="0" print="0" autoFill="0" autoPict="0" macro="[0]!player4_Won">
                <anchor moveWithCells="1" sizeWithCells="1">
                  <from>
                    <xdr:col>10</xdr:col>
                    <xdr:colOff>45720</xdr:colOff>
                    <xdr:row>16</xdr:row>
                    <xdr:rowOff>213360</xdr:rowOff>
                  </from>
                  <to>
                    <xdr:col>10</xdr:col>
                    <xdr:colOff>1051560</xdr:colOff>
                    <xdr:row>17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player5_Won">
                <anchor moveWithCells="1" sizeWithCells="1">
                  <from>
                    <xdr:col>10</xdr:col>
                    <xdr:colOff>38100</xdr:colOff>
                    <xdr:row>18</xdr:row>
                    <xdr:rowOff>60960</xdr:rowOff>
                  </from>
                  <to>
                    <xdr:col>10</xdr:col>
                    <xdr:colOff>1051560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1" name="Button 24">
              <controlPr defaultSize="0" print="0" autoFill="0" autoPict="0" macro="[0]!player6_Won">
                <anchor moveWithCells="1" sizeWithCells="1">
                  <from>
                    <xdr:col>10</xdr:col>
                    <xdr:colOff>38100</xdr:colOff>
                    <xdr:row>19</xdr:row>
                    <xdr:rowOff>289560</xdr:rowOff>
                  </from>
                  <to>
                    <xdr:col>10</xdr:col>
                    <xdr:colOff>1051560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2" name="Button 25">
              <controlPr defaultSize="0" print="0" autoFill="0" autoPict="0" macro="[0]!player7_Won">
                <anchor moveWithCells="1" sizeWithCells="1">
                  <from>
                    <xdr:col>10</xdr:col>
                    <xdr:colOff>38100</xdr:colOff>
                    <xdr:row>21</xdr:row>
                    <xdr:rowOff>106680</xdr:rowOff>
                  </from>
                  <to>
                    <xdr:col>10</xdr:col>
                    <xdr:colOff>1051560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3" name="Button 40">
              <controlPr defaultSize="0" print="0" autoFill="0" autoPict="0" macro="[0]!player1_Lost">
                <anchor moveWithCells="1" sizeWithCells="1">
                  <from>
                    <xdr:col>11</xdr:col>
                    <xdr:colOff>38100</xdr:colOff>
                    <xdr:row>11</xdr:row>
                    <xdr:rowOff>114300</xdr:rowOff>
                  </from>
                  <to>
                    <xdr:col>11</xdr:col>
                    <xdr:colOff>899160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4" name="Button 41">
              <controlPr defaultSize="0" print="0" autoFill="0" autoPict="0" macro="[0]!player2_Lost">
                <anchor moveWithCells="1" sizeWithCells="1">
                  <from>
                    <xdr:col>11</xdr:col>
                    <xdr:colOff>30480</xdr:colOff>
                    <xdr:row>13</xdr:row>
                    <xdr:rowOff>137160</xdr:rowOff>
                  </from>
                  <to>
                    <xdr:col>11</xdr:col>
                    <xdr:colOff>899160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15" name="Button 42">
              <controlPr defaultSize="0" print="0" autoFill="0" autoPict="0" macro="[0]!player3_Lost">
                <anchor moveWithCells="1" sizeWithCells="1">
                  <from>
                    <xdr:col>11</xdr:col>
                    <xdr:colOff>38100</xdr:colOff>
                    <xdr:row>15</xdr:row>
                    <xdr:rowOff>60960</xdr:rowOff>
                  </from>
                  <to>
                    <xdr:col>11</xdr:col>
                    <xdr:colOff>906780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6" name="Button 44">
              <controlPr defaultSize="0" print="0" autoFill="0" autoPict="0" macro="[0]!player5_Lost">
                <anchor moveWithCells="1" sizeWithCells="1">
                  <from>
                    <xdr:col>11</xdr:col>
                    <xdr:colOff>45720</xdr:colOff>
                    <xdr:row>18</xdr:row>
                    <xdr:rowOff>83820</xdr:rowOff>
                  </from>
                  <to>
                    <xdr:col>11</xdr:col>
                    <xdr:colOff>906780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7" name="Button 45">
              <controlPr defaultSize="0" print="0" autoFill="0" autoPict="0" macro="[0]!player6_Lost">
                <anchor moveWithCells="1" sizeWithCells="1">
                  <from>
                    <xdr:col>11</xdr:col>
                    <xdr:colOff>45720</xdr:colOff>
                    <xdr:row>19</xdr:row>
                    <xdr:rowOff>274320</xdr:rowOff>
                  </from>
                  <to>
                    <xdr:col>11</xdr:col>
                    <xdr:colOff>906780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8" name="Button 46">
              <controlPr defaultSize="0" print="0" autoFill="0" autoPict="0" macro="[0]!player7_Lost">
                <anchor moveWithCells="1" sizeWithCells="1">
                  <from>
                    <xdr:col>11</xdr:col>
                    <xdr:colOff>22860</xdr:colOff>
                    <xdr:row>21</xdr:row>
                    <xdr:rowOff>99060</xdr:rowOff>
                  </from>
                  <to>
                    <xdr:col>11</xdr:col>
                    <xdr:colOff>937260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9" name="Button 52">
              <controlPr defaultSize="0" print="0" autoFill="0" autoPict="0" macro="[0]!Reset_Rounds">
                <anchor moveWithCells="1" sizeWithCells="1">
                  <from>
                    <xdr:col>11</xdr:col>
                    <xdr:colOff>1226820</xdr:colOff>
                    <xdr:row>20</xdr:row>
                    <xdr:rowOff>251460</xdr:rowOff>
                  </from>
                  <to>
                    <xdr:col>13</xdr:col>
                    <xdr:colOff>99060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20" name="Button 54">
              <controlPr defaultSize="0" print="0" autoFill="0" autoPict="0" macro="[0]!All_Won">
                <anchor moveWithCells="1" sizeWithCells="1">
                  <from>
                    <xdr:col>12</xdr:col>
                    <xdr:colOff>22860</xdr:colOff>
                    <xdr:row>11</xdr:row>
                    <xdr:rowOff>137160</xdr:rowOff>
                  </from>
                  <to>
                    <xdr:col>13</xdr:col>
                    <xdr:colOff>114300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21" name="Button 57">
              <controlPr defaultSize="0" print="0" autoFill="0" autoPict="0" macro="[0]!All_Lost">
                <anchor moveWithCells="1" sizeWithCells="1">
                  <from>
                    <xdr:col>12</xdr:col>
                    <xdr:colOff>22860</xdr:colOff>
                    <xdr:row>14</xdr:row>
                    <xdr:rowOff>152400</xdr:rowOff>
                  </from>
                  <to>
                    <xdr:col>13</xdr:col>
                    <xdr:colOff>121920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22" name="Button 60">
              <controlPr defaultSize="0" print="0" autoFill="0" autoPict="0" macro="[0]!Rotate_players">
                <anchor moveWithCells="1" sizeWithCells="1">
                  <from>
                    <xdr:col>9</xdr:col>
                    <xdr:colOff>99060</xdr:colOff>
                    <xdr:row>8</xdr:row>
                    <xdr:rowOff>190500</xdr:rowOff>
                  </from>
                  <to>
                    <xdr:col>9</xdr:col>
                    <xdr:colOff>1150620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23" name="Button 64">
              <controlPr defaultSize="0" print="0" autoFill="0" autoPict="0" macro="[0]!player4_Lost">
                <anchor moveWithCells="1" sizeWithCells="1">
                  <from>
                    <xdr:col>11</xdr:col>
                    <xdr:colOff>45720</xdr:colOff>
                    <xdr:row>16</xdr:row>
                    <xdr:rowOff>213360</xdr:rowOff>
                  </from>
                  <to>
                    <xdr:col>11</xdr:col>
                    <xdr:colOff>906780</xdr:colOff>
                    <xdr:row>17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" operator="containsText" id="{E41BC45E-98A1-48A5-8C38-BADB195F1B00}">
            <xm:f>NOT(ISERROR(SEARCH(-1,B2)))</xm:f>
            <xm:f>-1</xm:f>
            <x14:dxf>
              <font>
                <color rgb="FF9C0006"/>
              </font>
            </x14:dxf>
          </x14:cfRule>
          <xm:sqref>J2 B5:H5 B9:H9 G8:H8 P5:V5</xm:sqref>
        </x14:conditionalFormatting>
        <x14:conditionalFormatting xmlns:xm="http://schemas.microsoft.com/office/excel/2006/main">
          <x14:cfRule type="containsText" priority="24" operator="containsText" id="{F29E45E4-7ACC-45A9-91CC-37547BB83756}">
            <xm:f>NOT(ISERROR(SEARCH(-1,B2)))</xm:f>
            <xm:f>-1</xm:f>
            <x14:dxf>
              <font>
                <color rgb="FF9C0006"/>
              </font>
            </x14:dxf>
          </x14:cfRule>
          <xm:sqref>B2:H2</xm:sqref>
        </x14:conditionalFormatting>
        <x14:conditionalFormatting xmlns:xm="http://schemas.microsoft.com/office/excel/2006/main">
          <x14:cfRule type="containsText" priority="19" operator="containsText" id="{255D49BC-F1C6-4422-84A2-1AB9718C41D6}">
            <xm:f>NOT(ISERROR(SEARCH(-1,G6)))</xm:f>
            <xm:f>-1</xm:f>
            <x14:dxf>
              <font>
                <color rgb="FF9C0006"/>
              </font>
            </x14:dxf>
          </x14:cfRule>
          <xm:sqref>G6:H6</xm:sqref>
        </x14:conditionalFormatting>
        <x14:conditionalFormatting xmlns:xm="http://schemas.microsoft.com/office/excel/2006/main">
          <x14:cfRule type="containsText" priority="17" operator="containsText" id="{83B460DF-55D1-4A20-92B6-478739626314}">
            <xm:f>NOT(ISERROR(SEARCH(-1,B7)))</xm:f>
            <xm:f>-1</xm:f>
            <x14:dxf>
              <font>
                <color rgb="FF9C0006"/>
              </font>
            </x14:dxf>
          </x14:cfRule>
          <xm:sqref>B7:H7</xm:sqref>
        </x14:conditionalFormatting>
        <x14:conditionalFormatting xmlns:xm="http://schemas.microsoft.com/office/excel/2006/main">
          <x14:cfRule type="containsText" priority="9" operator="containsText" id="{2B6EE655-A1EE-4698-8399-F44BD44A70FB}">
            <xm:f>NOT(ISERROR(SEARCH(-1,P6)))</xm:f>
            <xm:f>-1</xm:f>
            <x14:dxf>
              <font>
                <color rgb="FF9C0006"/>
              </font>
            </x14:dxf>
          </x14:cfRule>
          <xm:sqref>P6:V6</xm:sqref>
        </x14:conditionalFormatting>
        <x14:conditionalFormatting xmlns:xm="http://schemas.microsoft.com/office/excel/2006/main">
          <x14:cfRule type="containsText" priority="7" operator="containsText" id="{3175A733-DCA3-483F-9288-8561B1BD8452}">
            <xm:f>NOT(ISERROR(SEARCH(-1,P7)))</xm:f>
            <xm:f>-1</xm:f>
            <x14:dxf>
              <font>
                <color rgb="FF9C0006"/>
              </font>
            </x14:dxf>
          </x14:cfRule>
          <xm:sqref>P7:V7</xm:sqref>
        </x14:conditionalFormatting>
        <x14:conditionalFormatting xmlns:xm="http://schemas.microsoft.com/office/excel/2006/main">
          <x14:cfRule type="containsText" priority="5" operator="containsText" id="{808D94E6-CA8A-48F7-96C3-2C8B376DED88}">
            <xm:f>NOT(ISERROR(SEARCH(-1,P8)))</xm:f>
            <xm:f>-1</xm:f>
            <x14:dxf>
              <font>
                <color rgb="FF9C0006"/>
              </font>
            </x14:dxf>
          </x14:cfRule>
          <xm:sqref>P8:V8</xm:sqref>
        </x14:conditionalFormatting>
        <x14:conditionalFormatting xmlns:xm="http://schemas.microsoft.com/office/excel/2006/main">
          <x14:cfRule type="containsText" priority="3" operator="containsText" id="{A56B494D-E507-470B-A4CF-FFE243A11E68}">
            <xm:f>NOT(ISERROR(SEARCH(-1,P9)))</xm:f>
            <xm:f>-1</xm:f>
            <x14:dxf>
              <font>
                <color rgb="FF9C0006"/>
              </font>
            </x14:dxf>
          </x14:cfRule>
          <xm:sqref>P9:V9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27B676E6430447BF2F6BE9F97CC921" ma:contentTypeVersion="7" ma:contentTypeDescription="Create a new document." ma:contentTypeScope="" ma:versionID="175afe5d4f17807146d9071f492a98ec">
  <xsd:schema xmlns:xsd="http://www.w3.org/2001/XMLSchema" xmlns:xs="http://www.w3.org/2001/XMLSchema" xmlns:p="http://schemas.microsoft.com/office/2006/metadata/properties" xmlns:ns3="5b4913bb-34f0-469b-a0a5-c96c5cabd9d4" xmlns:ns4="26da8a57-4de9-4995-9765-b0210a2d6a3d" targetNamespace="http://schemas.microsoft.com/office/2006/metadata/properties" ma:root="true" ma:fieldsID="91122a5a1c20c2db80560cc3fae9b038" ns3:_="" ns4:_="">
    <xsd:import namespace="5b4913bb-34f0-469b-a0a5-c96c5cabd9d4"/>
    <xsd:import namespace="26da8a57-4de9-4995-9765-b0210a2d6a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913bb-34f0-469b-a0a5-c96c5cabd9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a8a57-4de9-4995-9765-b0210a2d6a3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D2A960-8D7E-4F92-BC1C-5C3E1B6CCB8B}">
  <ds:schemaRefs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26da8a57-4de9-4995-9765-b0210a2d6a3d"/>
    <ds:schemaRef ds:uri="5b4913bb-34f0-469b-a0a5-c96c5cabd9d4"/>
  </ds:schemaRefs>
</ds:datastoreItem>
</file>

<file path=customXml/itemProps2.xml><?xml version="1.0" encoding="utf-8"?>
<ds:datastoreItem xmlns:ds="http://schemas.openxmlformats.org/officeDocument/2006/customXml" ds:itemID="{241AACF3-3345-4426-9DA7-42F7CEDAC37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30ED7B-067D-483A-B188-461AFB400BA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b4913bb-34f0-469b-a0a5-c96c5cabd9d4"/>
    <ds:schemaRef ds:uri="26da8a57-4de9-4995-9765-b0210a2d6a3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Name Sheet</vt:lpstr>
      <vt:lpstr>Scoring and Bidding Data</vt:lpstr>
      <vt:lpstr>Dadi</vt:lpstr>
      <vt:lpstr>Paresh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 Gohil</dc:creator>
  <cp:lastModifiedBy>Siddharth Gohil</cp:lastModifiedBy>
  <dcterms:created xsi:type="dcterms:W3CDTF">2021-08-12T13:24:48Z</dcterms:created>
  <dcterms:modified xsi:type="dcterms:W3CDTF">2022-01-17T00:51:09Z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0x0101005B27B676E6430447BF2F6BE9F97CC921</vt:lpwstr>
  </property>
</Properties>
</file>